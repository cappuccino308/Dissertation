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4" documentId="11_E60897F41BE170836B02CE998F75CCDC64E183C8" xr6:coauthVersionLast="47" xr6:coauthVersionMax="47" xr10:uidLastSave="{A73CCA94-BF5C-4163-A246-F3BC95AC2D9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1" l="1"/>
  <c r="S9" i="1"/>
  <c r="U9" i="1" s="1"/>
  <c r="T8" i="1"/>
  <c r="S8" i="1"/>
  <c r="U8" i="1" s="1"/>
  <c r="T10" i="1" s="1"/>
  <c r="S12" i="1" s="1"/>
  <c r="T7" i="1"/>
  <c r="Q12" i="1" s="1"/>
  <c r="U12" i="1" s="1"/>
  <c r="R4" i="1"/>
  <c r="T2" i="1"/>
</calcChain>
</file>

<file path=xl/sharedStrings.xml><?xml version="1.0" encoding="utf-8"?>
<sst xmlns="http://schemas.openxmlformats.org/spreadsheetml/2006/main" count="265" uniqueCount="201">
  <si>
    <t>Included - Reviewer 2</t>
  </si>
  <si>
    <t>Conflicts</t>
  </si>
  <si>
    <t>Excluded - Reviewer 2</t>
  </si>
  <si>
    <t>CALCULATIONS</t>
  </si>
  <si>
    <t>Covidence #</t>
  </si>
  <si>
    <t>Study</t>
  </si>
  <si>
    <t>Title</t>
  </si>
  <si>
    <t>12 Conflicts</t>
  </si>
  <si>
    <t>47 in agreement</t>
  </si>
  <si>
    <t>47/59</t>
  </si>
  <si>
    <t>% agreement</t>
  </si>
  <si>
    <t>#7</t>
  </si>
  <si>
    <t>AvendaÃ±o 2025</t>
  </si>
  <si>
    <t>Biophysical performance indicators for secondary resources reveal positive effects at the community level in La Rinconada Marine Reserve (Antofagasta, Chile), SE Pacific Ocean</t>
  </si>
  <si>
    <t>N/A</t>
  </si>
  <si>
    <t>#52</t>
  </si>
  <si>
    <t>Ansmann 2022</t>
  </si>
  <si>
    <t>Ozone depletion in the Arctic and Antarctic stratosphere induced by wildfire smoke</t>
  </si>
  <si>
    <t>2nd included</t>
  </si>
  <si>
    <t>2nd excluded</t>
  </si>
  <si>
    <t>#27</t>
  </si>
  <si>
    <t>Albornoz 2024</t>
  </si>
  <si>
    <t>Legitimate network governance in small-scale fisheries in northern Chile</t>
  </si>
  <si>
    <t>#92</t>
  </si>
  <si>
    <t>Astorga 2020</t>
  </si>
  <si>
    <t>Complex Spatial Genetic Connectivity of Mussels Mytilus chilensis along the Southeastern Pacific Coast and Its Importance for Resource Management</t>
  </si>
  <si>
    <t>Included at T+AB, excluded at Full Text</t>
  </si>
  <si>
    <t>1st included</t>
  </si>
  <si>
    <t>#32</t>
  </si>
  <si>
    <t>Arias 2023</t>
  </si>
  <si>
    <t>Management policies impact fishersâ€™ income beyond tolerable limits: The case of the Chilean TURFs in Central Chile</t>
  </si>
  <si>
    <t>#142</t>
  </si>
  <si>
    <t>Aceves-Bueno 2017</t>
  </si>
  <si>
    <t>Are Territorial Use Rights in Fisheries (TURFs) sufficiently large?</t>
  </si>
  <si>
    <t>1st excluded</t>
  </si>
  <si>
    <t>#38</t>
  </si>
  <si>
    <t>AvendaÃ±o 2023</t>
  </si>
  <si>
    <t>Implementation of seed collection programs for the recovery of Argopecten purpuratus populations in the La Rinconada marine reserve (Antofagasta, Chile)</t>
  </si>
  <si>
    <t>#186</t>
  </si>
  <si>
    <t>Aron 2013</t>
  </si>
  <si>
    <t>Permanent fore-arc extension and seismic segmentation: Insights from the 2010 Maule earthquake, Chile</t>
  </si>
  <si>
    <t>#51</t>
  </si>
  <si>
    <t>AvendaÃ±o 2022</t>
  </si>
  <si>
    <t>Argopecten purpuratus settlement, on vestiges of algae Rhodymenia sp., which withstood the effects of ENSO 97-98 in La Rinconada Marine Reserve, Antofagasta, Chile</t>
  </si>
  <si>
    <t>#236</t>
  </si>
  <si>
    <t>AvendaÃ±o 2008</t>
  </si>
  <si>
    <t>Effects of water depth on survival and growth of Argopecten purpuratus (Lamarck, 1819) spat in northern Chile</t>
  </si>
  <si>
    <t>Included</t>
  </si>
  <si>
    <t>Observed agreement</t>
  </si>
  <si>
    <t>35+12/59</t>
  </si>
  <si>
    <t>#54</t>
  </si>
  <si>
    <t>Argopecten purpuratus (Mollusca, Pectinidae) post-El NiÃ±o 1997-98 response in La Rinconada Marine Reserve (Antofagasta, Chile)</t>
  </si>
  <si>
    <t>#247</t>
  </si>
  <si>
    <t>AvendaÃ±o 2007</t>
  </si>
  <si>
    <t>Artificial collection and early growth of spat of the scallop Argopecten purpuratus (Lamarck, 1819), in La Rinconada Marine Reserve, Antofagasta, Chile</t>
  </si>
  <si>
    <t xml:space="preserve">Include agreement </t>
  </si>
  <si>
    <t>#78</t>
  </si>
  <si>
    <t>Aburto 2021</t>
  </si>
  <si>
    <t>Toward understanding the long-term persistence of a local governance system among artisanal fishers in Chile</t>
  </si>
  <si>
    <t>#250</t>
  </si>
  <si>
    <t>AvendaÃ±o 2006</t>
  </si>
  <si>
    <t>Effect of immersion time of cultch on spatfall of the scallop Argopecten purpuratus (Lamarck 1819) in the Marine Reserve at La Riconada, Antofagasta, Chile</t>
  </si>
  <si>
    <t>Exclude agreement</t>
  </si>
  <si>
    <t>#82</t>
  </si>
  <si>
    <t>Albornoz 2020</t>
  </si>
  <si>
    <t>Co-management of small-scale fisheries in chile from a network governance perspective</t>
  </si>
  <si>
    <t>#262</t>
  </si>
  <si>
    <t>AvendaÃ±o-Herrera 2003</t>
  </si>
  <si>
    <t>Optimization of settlement of larval Argopecten purpuratus using natural diatom biofilms</t>
  </si>
  <si>
    <t>+</t>
  </si>
  <si>
    <t>#83</t>
  </si>
  <si>
    <t>Aburto 2020</t>
  </si>
  <si>
    <t>A large-scale marine protected area for the sea of Rapa Nui: From ocean grabbing to legitimacy</t>
  </si>
  <si>
    <t>#346</t>
  </si>
  <si>
    <t>Aceves-Bueno 2023</t>
  </si>
  <si>
    <t>Sustaining small-scale fisheries through a nation-wide Territorial Use Rights in Fisheries system</t>
  </si>
  <si>
    <t>#87</t>
  </si>
  <si>
    <t>Artis 2020</t>
  </si>
  <si>
    <t>Stakeholder perspectives on large-scale marine protected areas</t>
  </si>
  <si>
    <t>#347</t>
  </si>
  <si>
    <t>Avendano 2023</t>
  </si>
  <si>
    <t>Changes in the distribution density of locate, Thaisella chocolata (Duclos, 1832) (Gastropoda, Thaididae) as an indicator for predicting their reproductive events</t>
  </si>
  <si>
    <t xml:space="preserve">Kappa score = </t>
  </si>
  <si>
    <t>/</t>
  </si>
  <si>
    <t>=</t>
  </si>
  <si>
    <t>#88</t>
  </si>
  <si>
    <t>Anguita 2020</t>
  </si>
  <si>
    <t>Exploring the influence of upwelling on the total allowed catch and harvests of a benthic gastropod managed under a territorial user rights for fisheries regime along the Chilean coast.</t>
  </si>
  <si>
    <t>#375</t>
  </si>
  <si>
    <t>Aguayo 2022</t>
  </si>
  <si>
    <t>#93</t>
  </si>
  <si>
    <t>Anbleyth-Evans 2020</t>
  </si>
  <si>
    <t>Toward marine democracy in Chile: Examining aquaculture ecological impacts through common property local ecological knowledge</t>
  </si>
  <si>
    <t>#439</t>
  </si>
  <si>
    <t>Asorey 2020</t>
  </si>
  <si>
    <t>Architectonica karsteni Rutsch, 1934 (Gastropoda: Architectonicidae) in seamounts of the Nazca-Desventuradas Marine Park: First record in Chilean waters since the Miocene</t>
  </si>
  <si>
    <t>#97</t>
  </si>
  <si>
    <t>Arias 2020</t>
  </si>
  <si>
    <t>Sustainability analysis of the benthic fisheries managed in the turf system in Chile</t>
  </si>
  <si>
    <t>#532</t>
  </si>
  <si>
    <t>Andreu-Cazenave 2017</t>
  </si>
  <si>
    <t>raw data_Andreu-Cazenave et al.xlsx</t>
  </si>
  <si>
    <t>#103</t>
  </si>
  <si>
    <t>AvendaÃ±o 2019</t>
  </si>
  <si>
    <t>The Decreasing Availability of Settlement Surfaces Affects the Transition From Larvae to Early Recruitment of the Scallop Argopecten purpuratus Through El NiÃ±o and La NiÃ±a Episodes</t>
  </si>
  <si>
    <t>#567</t>
  </si>
  <si>
    <t>Aswani 2015</t>
  </si>
  <si>
    <t>Human harvesting impacts on managed areas: ecological effects of socially-compatible shellfish reserves</t>
  </si>
  <si>
    <t>#126</t>
  </si>
  <si>
    <t>Araos 2018</t>
  </si>
  <si>
    <t>Navigating in open waters: Tensions and agents in marine conservation in the Patagonia of Chile</t>
  </si>
  <si>
    <t>#599</t>
  </si>
  <si>
    <t>Avendano 2013</t>
  </si>
  <si>
    <t>Reproductive cycle, collection and early growth of Aulacomya ater, Molina 1782 (Bivalvia: Mytilidae) in northern Chile</t>
  </si>
  <si>
    <t>#137</t>
  </si>
  <si>
    <t>Andreu-Cazenav 2017</t>
  </si>
  <si>
    <t>Exploitation rates of two benthic resources across management regimes in central Chile: Evidence of illegal fishing in artisanal fisheries operating in open access areas</t>
  </si>
  <si>
    <t>#608</t>
  </si>
  <si>
    <t>Alexander 2013</t>
  </si>
  <si>
    <t>Assessing the effectiveness of a long-standing rocky intertidal protected area and its contribution to the regional conservation of species, habitats and assemblages</t>
  </si>
  <si>
    <t>#139</t>
  </si>
  <si>
    <t>AvendaÃ±o 2017</t>
  </si>
  <si>
    <t>Evidence of clandestine harvest and failure of conservation policies for Argopecten purpuratus in the Rinconada Marine Reserve (Chile)</t>
  </si>
  <si>
    <t>#634</t>
  </si>
  <si>
    <t>Avendano 2011</t>
  </si>
  <si>
    <t>Reestablishment of Choromytilus chorus (Molina, 1782) (Bivalvia: Mytilidae) in northern Chile</t>
  </si>
  <si>
    <t>#145</t>
  </si>
  <si>
    <t>Araos 2017</t>
  </si>
  <si>
    <t>Beyond biodiversity: Contributions of anthropology to marine conservation in Chile</t>
  </si>
  <si>
    <t>Excluded</t>
  </si>
  <si>
    <t>Review</t>
  </si>
  <si>
    <t>#668</t>
  </si>
  <si>
    <t>Allen 2008</t>
  </si>
  <si>
    <t>Conservation hotspots of biodiversity and endemism for Indo-Pacific coral reef fishes</t>
  </si>
  <si>
    <t>#150</t>
  </si>
  <si>
    <t>AlonsoVega 2016</t>
  </si>
  <si>
    <t>Scurria-lessonia association as an indicator of ecological integrity in exploited kelp beds of Lessonia berteroana (ex L. nigrescens) in northern Chile</t>
  </si>
  <si>
    <t>#724</t>
  </si>
  <si>
    <t>Francour 2001</t>
  </si>
  <si>
    <t>A review of marine protected areas in the northwestern Mediterranean region: siting, usage, zonation and management</t>
  </si>
  <si>
    <t>#151</t>
  </si>
  <si>
    <t>AvendaÃ±o 2016</t>
  </si>
  <si>
    <t>Evaluation of the performance of the first marine reserve in Chile, la rinconada, in the field of conservation on its focal species, the scallop Argopecten purpuratus</t>
  </si>
  <si>
    <t>#743</t>
  </si>
  <si>
    <t>Allison 1998</t>
  </si>
  <si>
    <t>Marine reserves are necessary but not sufficient for marine conservation</t>
  </si>
  <si>
    <t>#152</t>
  </si>
  <si>
    <t>Inhabiting fauna in holdfasts of lessonia nigrescens complex. Is it an indicator of ecological integrity in exploited kelp beds in Northern chile?</t>
  </si>
  <si>
    <t>#174</t>
  </si>
  <si>
    <t>Aburto 2014</t>
  </si>
  <si>
    <t>Social-ecological collapse: TURF governance in the context of highly variable resources in Chile</t>
  </si>
  <si>
    <t>#184</t>
  </si>
  <si>
    <t>Araos 2013</t>
  </si>
  <si>
    <t>The construction of an environmental arena for marine conservation in Chile</t>
  </si>
  <si>
    <t>#192</t>
  </si>
  <si>
    <t>Almanza 2013</t>
  </si>
  <si>
    <t>The ecological importance of Macrocystis pyrifera (Phaeophyta) forests towards a sustainable management and exploitation of chilean coastal benthic co-management areas</t>
  </si>
  <si>
    <t>#194</t>
  </si>
  <si>
    <t>Aburto 2013</t>
  </si>
  <si>
    <t>Territorial user rights for artisanal fisheries in Chile - intended and unintended outcomes</t>
  </si>
  <si>
    <t>#195</t>
  </si>
  <si>
    <t>Learning about TURFs and natural variability: Failure of surf clam management in Chile</t>
  </si>
  <si>
    <t>#206</t>
  </si>
  <si>
    <t>Almanza 2012</t>
  </si>
  <si>
    <t>Can giant kelp (Macrocystis pyrifera) forests enhance invertebrate recruitment in southern Chile?</t>
  </si>
  <si>
    <t>#228</t>
  </si>
  <si>
    <t>Aburto 2009</t>
  </si>
  <si>
    <t>Allocation of effort in artisanal fisheries: The importance of migration and temporary fishing camps</t>
  </si>
  <si>
    <t>#242</t>
  </si>
  <si>
    <t>Castilla 2007</t>
  </si>
  <si>
    <t>Recovery of Durvillaea antarctica (Durvilleales) inside and outside Las Cruces marine reserve, Chile</t>
  </si>
  <si>
    <t>#259</t>
  </si>
  <si>
    <t>AvendaÃ±o 2005</t>
  </si>
  <si>
    <t>Growth and population structure of Argopecten purpuratus at La Rinconada Marine Reserve, Antofagasta, Chile</t>
  </si>
  <si>
    <t>#379</t>
  </si>
  <si>
    <t>Americo 2022</t>
  </si>
  <si>
    <t>SELECTION OF TARGET SPECIES FOR MARINE PROTECTED AREAS: A MULTI CRITERIA APPROACH USING BENTHIC ORGANISMS.</t>
  </si>
  <si>
    <t>#484</t>
  </si>
  <si>
    <t>Aguilera 2019</t>
  </si>
  <si>
    <t>Chile: Environmental Status and Future Perspectives</t>
  </si>
  <si>
    <t>Book</t>
  </si>
  <si>
    <t>#497</t>
  </si>
  <si>
    <t>AlonsoVega 2018</t>
  </si>
  <si>
    <t>The chemical composition of Lessonia berteroana (ex L. nigrescens) in kelp harvest management and open access areas near Coquimbo, Chile</t>
  </si>
  <si>
    <t>#533</t>
  </si>
  <si>
    <t>AcevesBueno 2017</t>
  </si>
  <si>
    <t>Designing Spatially Explicit Property Rights for Moving Fish</t>
  </si>
  <si>
    <t>Thesis</t>
  </si>
  <si>
    <t>#538</t>
  </si>
  <si>
    <t>Aldana 2016</t>
  </si>
  <si>
    <t>Predation and anthropogenic impact on community structure of boulder beaches</t>
  </si>
  <si>
    <t>#577</t>
  </si>
  <si>
    <t>Aldana 2014</t>
  </si>
  <si>
    <t>Increased Parasitism of Limpets by a Trematode Metacercaria in Fisheries Management Areas of Central Chile: Effects on Host Growth and Reproduction</t>
  </si>
  <si>
    <t>#598</t>
  </si>
  <si>
    <t>#636</t>
  </si>
  <si>
    <t>Aldea 2011</t>
  </si>
  <si>
    <t>DIVERSITY CHARACTERIZATION OF SUBTIDAL BENTHIC MOLLUSCS FROM CARLOS III ISLAND AND ADJACENT AREAS, STRAIT OF MAGELLAN, CHILE</t>
  </si>
  <si>
    <t>#674</t>
  </si>
  <si>
    <t>Avendano 2008</t>
  </si>
  <si>
    <t>Reproductive and larval cycle of the scallop Argopecten purpuratus (Ostreoida: Pectinidae), during E1 Nino La Nina events and normal weather conditions in Antofagasta, Chile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</si>
</sst>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1"/>
  <sheetViews>
    <sheetView tabSelected="1" workbookViewId="0">
      <selection activeCell="N7" sqref="N7"/>
    </sheetView>
  </sheetViews>
  <sheetFormatPr defaultRowHeight="15"/>
  <sheetData>
    <row r="1" spans="2:21">
      <c r="B1" t="s">
        <v>0</v>
      </c>
      <c r="E1" t="s">
        <v>1</v>
      </c>
      <c r="H1" t="s">
        <v>2</v>
      </c>
      <c r="K1" t="s">
        <v>1</v>
      </c>
      <c r="Q1" t="s">
        <v>3</v>
      </c>
    </row>
    <row r="2" spans="2:21">
      <c r="B2" s="1" t="s">
        <v>4</v>
      </c>
      <c r="C2" s="1" t="s">
        <v>5</v>
      </c>
      <c r="D2" s="1" t="s">
        <v>6</v>
      </c>
      <c r="H2" s="1" t="s">
        <v>4</v>
      </c>
      <c r="I2" s="1" t="s">
        <v>5</v>
      </c>
      <c r="J2" s="1" t="s">
        <v>6</v>
      </c>
      <c r="Q2" t="s">
        <v>7</v>
      </c>
      <c r="R2" t="s">
        <v>8</v>
      </c>
      <c r="S2" t="s">
        <v>9</v>
      </c>
      <c r="T2">
        <f>47/59</f>
        <v>0.79661016949152541</v>
      </c>
      <c r="U2" t="s">
        <v>10</v>
      </c>
    </row>
    <row r="3" spans="2:21">
      <c r="B3" s="1" t="s">
        <v>11</v>
      </c>
      <c r="C3" s="1" t="s">
        <v>12</v>
      </c>
      <c r="D3" s="1" t="s">
        <v>13</v>
      </c>
      <c r="E3" t="s">
        <v>14</v>
      </c>
      <c r="H3" s="1" t="s">
        <v>15</v>
      </c>
      <c r="I3" s="1" t="s">
        <v>16</v>
      </c>
      <c r="J3" s="1" t="s">
        <v>17</v>
      </c>
      <c r="K3" t="s">
        <v>14</v>
      </c>
      <c r="R3" t="s">
        <v>18</v>
      </c>
      <c r="S3" t="s">
        <v>19</v>
      </c>
    </row>
    <row r="4" spans="2:21">
      <c r="B4" s="1" t="s">
        <v>20</v>
      </c>
      <c r="C4" s="1" t="s">
        <v>21</v>
      </c>
      <c r="D4" s="1" t="s">
        <v>22</v>
      </c>
      <c r="E4" t="s">
        <v>14</v>
      </c>
      <c r="H4" s="1" t="s">
        <v>23</v>
      </c>
      <c r="I4" s="1" t="s">
        <v>24</v>
      </c>
      <c r="J4" s="1" t="s">
        <v>25</v>
      </c>
      <c r="K4" t="s">
        <v>26</v>
      </c>
      <c r="Q4" t="s">
        <v>27</v>
      </c>
      <c r="R4">
        <f>39-4</f>
        <v>35</v>
      </c>
      <c r="S4">
        <v>4</v>
      </c>
    </row>
    <row r="5" spans="2:21">
      <c r="B5" s="1" t="s">
        <v>28</v>
      </c>
      <c r="C5" s="1" t="s">
        <v>29</v>
      </c>
      <c r="D5" s="1" t="s">
        <v>30</v>
      </c>
      <c r="E5" t="s">
        <v>14</v>
      </c>
      <c r="H5" s="1" t="s">
        <v>31</v>
      </c>
      <c r="I5" s="1" t="s">
        <v>32</v>
      </c>
      <c r="J5" s="1" t="s">
        <v>33</v>
      </c>
      <c r="K5" t="s">
        <v>26</v>
      </c>
      <c r="Q5" t="s">
        <v>34</v>
      </c>
      <c r="R5">
        <v>8</v>
      </c>
      <c r="S5">
        <v>12</v>
      </c>
    </row>
    <row r="6" spans="2:21">
      <c r="B6" s="1" t="s">
        <v>35</v>
      </c>
      <c r="C6" s="1" t="s">
        <v>36</v>
      </c>
      <c r="D6" s="1" t="s">
        <v>37</v>
      </c>
      <c r="E6" t="s">
        <v>14</v>
      </c>
      <c r="H6" s="1" t="s">
        <v>38</v>
      </c>
      <c r="I6" s="1" t="s">
        <v>39</v>
      </c>
      <c r="J6" s="1" t="s">
        <v>40</v>
      </c>
      <c r="K6" t="s">
        <v>14</v>
      </c>
    </row>
    <row r="7" spans="2:21">
      <c r="B7" s="1" t="s">
        <v>41</v>
      </c>
      <c r="C7" s="1" t="s">
        <v>42</v>
      </c>
      <c r="D7" s="1" t="s">
        <v>43</v>
      </c>
      <c r="E7" t="s">
        <v>14</v>
      </c>
      <c r="H7" s="1" t="s">
        <v>44</v>
      </c>
      <c r="I7" s="1" t="s">
        <v>45</v>
      </c>
      <c r="J7" s="1" t="s">
        <v>46</v>
      </c>
      <c r="K7" t="s">
        <v>47</v>
      </c>
      <c r="Q7" t="s">
        <v>48</v>
      </c>
      <c r="S7" t="s">
        <v>49</v>
      </c>
      <c r="T7" s="2">
        <f>47/59</f>
        <v>0.79661016949152541</v>
      </c>
    </row>
    <row r="8" spans="2:21">
      <c r="B8" s="1" t="s">
        <v>50</v>
      </c>
      <c r="C8" s="1" t="s">
        <v>42</v>
      </c>
      <c r="D8" s="1" t="s">
        <v>51</v>
      </c>
      <c r="E8" t="s">
        <v>14</v>
      </c>
      <c r="H8" s="1" t="s">
        <v>52</v>
      </c>
      <c r="I8" s="1" t="s">
        <v>53</v>
      </c>
      <c r="J8" s="1" t="s">
        <v>54</v>
      </c>
      <c r="K8" t="s">
        <v>47</v>
      </c>
      <c r="Q8" t="s">
        <v>55</v>
      </c>
      <c r="S8">
        <f>39/59</f>
        <v>0.66101694915254239</v>
      </c>
      <c r="T8">
        <f>43/59</f>
        <v>0.72881355932203384</v>
      </c>
      <c r="U8">
        <f>S8*T8</f>
        <v>0.48175811548405628</v>
      </c>
    </row>
    <row r="9" spans="2:21">
      <c r="B9" s="1" t="s">
        <v>56</v>
      </c>
      <c r="C9" s="1" t="s">
        <v>57</v>
      </c>
      <c r="D9" s="1" t="s">
        <v>58</v>
      </c>
      <c r="E9" t="s">
        <v>14</v>
      </c>
      <c r="H9" s="1" t="s">
        <v>59</v>
      </c>
      <c r="I9" s="1" t="s">
        <v>60</v>
      </c>
      <c r="J9" s="1" t="s">
        <v>61</v>
      </c>
      <c r="K9" t="s">
        <v>47</v>
      </c>
      <c r="Q9" t="s">
        <v>62</v>
      </c>
      <c r="S9">
        <f>20/59</f>
        <v>0.33898305084745761</v>
      </c>
      <c r="T9">
        <f>16/59</f>
        <v>0.2711864406779661</v>
      </c>
      <c r="U9">
        <f>S9*T9</f>
        <v>9.1927607009480036E-2</v>
      </c>
    </row>
    <row r="10" spans="2:21">
      <c r="B10" s="1" t="s">
        <v>63</v>
      </c>
      <c r="C10" s="1" t="s">
        <v>64</v>
      </c>
      <c r="D10" s="1" t="s">
        <v>65</v>
      </c>
      <c r="E10" t="s">
        <v>14</v>
      </c>
      <c r="H10" s="1" t="s">
        <v>66</v>
      </c>
      <c r="I10" s="1" t="s">
        <v>67</v>
      </c>
      <c r="J10" s="1" t="s">
        <v>68</v>
      </c>
      <c r="K10" t="s">
        <v>26</v>
      </c>
      <c r="S10" t="s">
        <v>69</v>
      </c>
      <c r="T10" s="2">
        <f>U8+U9</f>
        <v>0.57368572249353633</v>
      </c>
    </row>
    <row r="11" spans="2:21">
      <c r="B11" s="1" t="s">
        <v>70</v>
      </c>
      <c r="C11" s="1" t="s">
        <v>71</v>
      </c>
      <c r="D11" s="1" t="s">
        <v>72</v>
      </c>
      <c r="E11" t="s">
        <v>14</v>
      </c>
      <c r="H11" s="1" t="s">
        <v>73</v>
      </c>
      <c r="I11" s="1" t="s">
        <v>74</v>
      </c>
      <c r="J11" s="1" t="s">
        <v>75</v>
      </c>
      <c r="K11" t="s">
        <v>14</v>
      </c>
    </row>
    <row r="12" spans="2:21">
      <c r="B12" s="1" t="s">
        <v>76</v>
      </c>
      <c r="C12" s="1" t="s">
        <v>77</v>
      </c>
      <c r="D12" s="1" t="s">
        <v>78</v>
      </c>
      <c r="E12" t="s">
        <v>14</v>
      </c>
      <c r="H12" s="1" t="s">
        <v>79</v>
      </c>
      <c r="I12" s="1" t="s">
        <v>80</v>
      </c>
      <c r="J12" s="1" t="s">
        <v>81</v>
      </c>
      <c r="K12" t="s">
        <v>47</v>
      </c>
      <c r="P12" t="s">
        <v>82</v>
      </c>
      <c r="Q12">
        <f>T7-T10</f>
        <v>0.22292444699798908</v>
      </c>
      <c r="R12" t="s">
        <v>83</v>
      </c>
      <c r="S12">
        <f>1-T10</f>
        <v>0.42631427750646367</v>
      </c>
      <c r="T12" t="s">
        <v>84</v>
      </c>
      <c r="U12" s="2">
        <f>Q12/S12</f>
        <v>0.52291105121293802</v>
      </c>
    </row>
    <row r="13" spans="2:21">
      <c r="B13" s="1" t="s">
        <v>85</v>
      </c>
      <c r="C13" s="1" t="s">
        <v>86</v>
      </c>
      <c r="D13" s="1" t="s">
        <v>87</v>
      </c>
      <c r="E13" t="s">
        <v>14</v>
      </c>
      <c r="H13" s="1" t="s">
        <v>88</v>
      </c>
      <c r="I13" s="1" t="s">
        <v>89</v>
      </c>
      <c r="J13" s="1"/>
      <c r="K13" t="s">
        <v>14</v>
      </c>
    </row>
    <row r="14" spans="2:21">
      <c r="B14" s="1" t="s">
        <v>90</v>
      </c>
      <c r="C14" s="1" t="s">
        <v>91</v>
      </c>
      <c r="D14" s="1" t="s">
        <v>92</v>
      </c>
      <c r="E14" t="s">
        <v>14</v>
      </c>
      <c r="H14" s="1" t="s">
        <v>93</v>
      </c>
      <c r="I14" s="1" t="s">
        <v>94</v>
      </c>
      <c r="J14" s="1" t="s">
        <v>95</v>
      </c>
      <c r="K14" t="s">
        <v>26</v>
      </c>
    </row>
    <row r="15" spans="2:21">
      <c r="B15" s="1" t="s">
        <v>96</v>
      </c>
      <c r="C15" s="1" t="s">
        <v>97</v>
      </c>
      <c r="D15" s="1" t="s">
        <v>98</v>
      </c>
      <c r="E15" t="s">
        <v>14</v>
      </c>
      <c r="H15" s="1" t="s">
        <v>99</v>
      </c>
      <c r="I15" s="1" t="s">
        <v>100</v>
      </c>
      <c r="J15" s="1" t="s">
        <v>101</v>
      </c>
      <c r="K15" t="s">
        <v>14</v>
      </c>
    </row>
    <row r="16" spans="2:21">
      <c r="B16" s="1" t="s">
        <v>102</v>
      </c>
      <c r="C16" s="1" t="s">
        <v>103</v>
      </c>
      <c r="D16" s="1" t="s">
        <v>104</v>
      </c>
      <c r="E16" t="s">
        <v>14</v>
      </c>
      <c r="H16" s="1" t="s">
        <v>105</v>
      </c>
      <c r="I16" s="1" t="s">
        <v>106</v>
      </c>
      <c r="J16" s="1" t="s">
        <v>107</v>
      </c>
      <c r="K16" t="s">
        <v>14</v>
      </c>
    </row>
    <row r="17" spans="2:11">
      <c r="B17" s="1" t="s">
        <v>108</v>
      </c>
      <c r="C17" s="1" t="s">
        <v>109</v>
      </c>
      <c r="D17" s="1" t="s">
        <v>110</v>
      </c>
      <c r="E17" t="s">
        <v>14</v>
      </c>
      <c r="H17" s="1" t="s">
        <v>111</v>
      </c>
      <c r="I17" s="1" t="s">
        <v>112</v>
      </c>
      <c r="J17" s="1" t="s">
        <v>113</v>
      </c>
      <c r="K17" t="s">
        <v>14</v>
      </c>
    </row>
    <row r="18" spans="2:11">
      <c r="B18" s="1" t="s">
        <v>114</v>
      </c>
      <c r="C18" s="1" t="s">
        <v>115</v>
      </c>
      <c r="D18" s="1" t="s">
        <v>116</v>
      </c>
      <c r="E18" t="s">
        <v>14</v>
      </c>
      <c r="H18" s="1" t="s">
        <v>117</v>
      </c>
      <c r="I18" s="1" t="s">
        <v>118</v>
      </c>
      <c r="J18" s="1" t="s">
        <v>119</v>
      </c>
      <c r="K18" t="s">
        <v>14</v>
      </c>
    </row>
    <row r="19" spans="2:11">
      <c r="B19" s="1" t="s">
        <v>120</v>
      </c>
      <c r="C19" s="1" t="s">
        <v>121</v>
      </c>
      <c r="D19" s="1" t="s">
        <v>122</v>
      </c>
      <c r="E19" t="s">
        <v>14</v>
      </c>
      <c r="H19" s="1" t="s">
        <v>123</v>
      </c>
      <c r="I19" s="1" t="s">
        <v>124</v>
      </c>
      <c r="J19" s="1" t="s">
        <v>125</v>
      </c>
      <c r="K19" t="s">
        <v>14</v>
      </c>
    </row>
    <row r="20" spans="2:11">
      <c r="B20" s="1" t="s">
        <v>126</v>
      </c>
      <c r="C20" s="1" t="s">
        <v>127</v>
      </c>
      <c r="D20" s="1" t="s">
        <v>128</v>
      </c>
      <c r="E20" t="s">
        <v>129</v>
      </c>
      <c r="F20" t="s">
        <v>130</v>
      </c>
      <c r="H20" s="1" t="s">
        <v>131</v>
      </c>
      <c r="I20" s="1" t="s">
        <v>132</v>
      </c>
      <c r="J20" s="1" t="s">
        <v>133</v>
      </c>
      <c r="K20" t="s">
        <v>14</v>
      </c>
    </row>
    <row r="21" spans="2:11">
      <c r="B21" s="1" t="s">
        <v>134</v>
      </c>
      <c r="C21" s="1" t="s">
        <v>135</v>
      </c>
      <c r="D21" s="1" t="s">
        <v>136</v>
      </c>
      <c r="E21" t="s">
        <v>14</v>
      </c>
      <c r="H21" s="1" t="s">
        <v>137</v>
      </c>
      <c r="I21" s="1" t="s">
        <v>138</v>
      </c>
      <c r="J21" s="1" t="s">
        <v>139</v>
      </c>
      <c r="K21" t="s">
        <v>14</v>
      </c>
    </row>
    <row r="22" spans="2:11">
      <c r="B22" s="1" t="s">
        <v>140</v>
      </c>
      <c r="C22" s="1" t="s">
        <v>141</v>
      </c>
      <c r="D22" s="1" t="s">
        <v>142</v>
      </c>
      <c r="E22" t="s">
        <v>14</v>
      </c>
      <c r="H22" s="1" t="s">
        <v>143</v>
      </c>
      <c r="I22" s="1" t="s">
        <v>144</v>
      </c>
      <c r="J22" s="1" t="s">
        <v>145</v>
      </c>
      <c r="K22" t="s">
        <v>14</v>
      </c>
    </row>
    <row r="23" spans="2:11">
      <c r="B23" s="1" t="s">
        <v>146</v>
      </c>
      <c r="C23" s="1" t="s">
        <v>135</v>
      </c>
      <c r="D23" s="1" t="s">
        <v>147</v>
      </c>
      <c r="E23" t="s">
        <v>14</v>
      </c>
    </row>
    <row r="24" spans="2:11">
      <c r="B24" s="1" t="s">
        <v>148</v>
      </c>
      <c r="C24" s="1" t="s">
        <v>149</v>
      </c>
      <c r="D24" s="1" t="s">
        <v>150</v>
      </c>
      <c r="E24" t="s">
        <v>14</v>
      </c>
    </row>
    <row r="25" spans="2:11">
      <c r="B25" s="1" t="s">
        <v>151</v>
      </c>
      <c r="C25" s="1" t="s">
        <v>152</v>
      </c>
      <c r="D25" s="1" t="s">
        <v>153</v>
      </c>
      <c r="E25" t="s">
        <v>129</v>
      </c>
      <c r="F25" t="s">
        <v>130</v>
      </c>
    </row>
    <row r="26" spans="2:11">
      <c r="B26" s="1" t="s">
        <v>154</v>
      </c>
      <c r="C26" s="1" t="s">
        <v>155</v>
      </c>
      <c r="D26" s="1" t="s">
        <v>156</v>
      </c>
      <c r="E26" t="s">
        <v>14</v>
      </c>
    </row>
    <row r="27" spans="2:11">
      <c r="B27" s="1" t="s">
        <v>157</v>
      </c>
      <c r="C27" s="1" t="s">
        <v>158</v>
      </c>
      <c r="D27" s="1" t="s">
        <v>159</v>
      </c>
      <c r="E27" t="s">
        <v>14</v>
      </c>
    </row>
    <row r="28" spans="2:11">
      <c r="B28" s="1" t="s">
        <v>160</v>
      </c>
      <c r="C28" s="1" t="s">
        <v>158</v>
      </c>
      <c r="D28" s="1" t="s">
        <v>161</v>
      </c>
      <c r="E28" t="s">
        <v>14</v>
      </c>
    </row>
    <row r="29" spans="2:11">
      <c r="B29" s="1" t="s">
        <v>162</v>
      </c>
      <c r="C29" s="1" t="s">
        <v>163</v>
      </c>
      <c r="D29" s="1" t="s">
        <v>164</v>
      </c>
      <c r="E29" t="s">
        <v>14</v>
      </c>
    </row>
    <row r="30" spans="2:11">
      <c r="B30" s="1" t="s">
        <v>165</v>
      </c>
      <c r="C30" s="1" t="s">
        <v>166</v>
      </c>
      <c r="D30" s="1" t="s">
        <v>167</v>
      </c>
      <c r="E30" t="s">
        <v>14</v>
      </c>
    </row>
    <row r="31" spans="2:11">
      <c r="B31" s="1" t="s">
        <v>168</v>
      </c>
      <c r="C31" s="1" t="s">
        <v>169</v>
      </c>
      <c r="D31" s="1" t="s">
        <v>170</v>
      </c>
      <c r="E31" t="s">
        <v>14</v>
      </c>
    </row>
    <row r="32" spans="2:11">
      <c r="B32" s="1" t="s">
        <v>171</v>
      </c>
      <c r="C32" s="1" t="s">
        <v>172</v>
      </c>
      <c r="D32" s="1" t="s">
        <v>173</v>
      </c>
      <c r="E32" t="s">
        <v>14</v>
      </c>
    </row>
    <row r="33" spans="2:6">
      <c r="B33" s="1" t="s">
        <v>174</v>
      </c>
      <c r="C33" s="1" t="s">
        <v>175</v>
      </c>
      <c r="D33" s="1" t="s">
        <v>176</v>
      </c>
      <c r="E33" t="s">
        <v>14</v>
      </c>
    </row>
    <row r="34" spans="2:6">
      <c r="B34" s="1" t="s">
        <v>177</v>
      </c>
      <c r="C34" s="1" t="s">
        <v>178</v>
      </c>
      <c r="D34" s="1" t="s">
        <v>179</v>
      </c>
      <c r="E34" t="s">
        <v>129</v>
      </c>
      <c r="F34" t="s">
        <v>180</v>
      </c>
    </row>
    <row r="35" spans="2:6">
      <c r="B35" s="1" t="s">
        <v>181</v>
      </c>
      <c r="C35" s="1" t="s">
        <v>182</v>
      </c>
      <c r="D35" s="1" t="s">
        <v>183</v>
      </c>
      <c r="E35" t="s">
        <v>14</v>
      </c>
    </row>
    <row r="36" spans="2:6">
      <c r="B36" s="1" t="s">
        <v>184</v>
      </c>
      <c r="C36" s="1" t="s">
        <v>185</v>
      </c>
      <c r="D36" s="1" t="s">
        <v>186</v>
      </c>
      <c r="E36" t="s">
        <v>129</v>
      </c>
      <c r="F36" t="s">
        <v>187</v>
      </c>
    </row>
    <row r="37" spans="2:6">
      <c r="B37" s="1" t="s">
        <v>188</v>
      </c>
      <c r="C37" s="1" t="s">
        <v>189</v>
      </c>
      <c r="D37" s="1" t="s">
        <v>190</v>
      </c>
      <c r="E37" t="s">
        <v>14</v>
      </c>
    </row>
    <row r="38" spans="2:6">
      <c r="B38" s="1" t="s">
        <v>191</v>
      </c>
      <c r="C38" s="1" t="s">
        <v>192</v>
      </c>
      <c r="D38" s="1" t="s">
        <v>193</v>
      </c>
      <c r="E38" t="s">
        <v>14</v>
      </c>
    </row>
    <row r="39" spans="2:6">
      <c r="B39" s="1" t="s">
        <v>194</v>
      </c>
      <c r="C39" s="1" t="s">
        <v>152</v>
      </c>
      <c r="D39" s="1"/>
      <c r="E39" t="s">
        <v>14</v>
      </c>
    </row>
    <row r="40" spans="2:6">
      <c r="B40" s="1" t="s">
        <v>195</v>
      </c>
      <c r="C40" s="1" t="s">
        <v>196</v>
      </c>
      <c r="D40" s="1" t="s">
        <v>197</v>
      </c>
      <c r="E40" t="s">
        <v>14</v>
      </c>
    </row>
    <row r="41" spans="2:6">
      <c r="B41" s="1" t="s">
        <v>198</v>
      </c>
      <c r="C41" s="1" t="s">
        <v>199</v>
      </c>
      <c r="D41" s="1" t="s">
        <v>200</v>
      </c>
      <c r="E4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Emily Kemp</cp:lastModifiedBy>
  <cp:revision/>
  <dcterms:created xsi:type="dcterms:W3CDTF">2026-04-06T00:12:11Z</dcterms:created>
  <dcterms:modified xsi:type="dcterms:W3CDTF">2026-04-06T00:15:07Z</dcterms:modified>
  <cp:category/>
  <cp:contentStatus/>
</cp:coreProperties>
</file>