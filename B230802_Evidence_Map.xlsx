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s2337259_ed_ac_uk/Documents/Dissertation/"/>
    </mc:Choice>
  </mc:AlternateContent>
  <xr:revisionPtr revIDLastSave="18375" documentId="8_{B3B94654-4446-4226-B38A-D9D721F6E6B7}" xr6:coauthVersionLast="47" xr6:coauthVersionMax="47" xr10:uidLastSave="{595DD786-D0BD-43B6-B5B6-54C8C7CBC07F}"/>
  <bookViews>
    <workbookView xWindow="-110" yWindow="-110" windowWidth="19420" windowHeight="10300" activeTab="2" xr2:uid="{7E7BD069-24DF-42B6-BA9F-276AFA692A40}"/>
  </bookViews>
  <sheets>
    <sheet name="Coded metadata" sheetId="5" r:id="rId1"/>
    <sheet name="Location" sheetId="9" r:id="rId2"/>
    <sheet name="Bibliography" sheetId="2" r:id="rId3"/>
  </sheets>
  <definedNames>
    <definedName name="_xlnm._FilterDatabase" localSheetId="0" hidden="1">'Coded metadata'!$P$1:$P$161</definedName>
    <definedName name="_xlnm._FilterDatabase" localSheetId="1" hidden="1">Location!$D$1:$D$68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764" i="5" l="1"/>
  <c r="AB764" i="5"/>
  <c r="AB763" i="5"/>
  <c r="AE763" i="5"/>
  <c r="AE759" i="5"/>
  <c r="AE758" i="5"/>
  <c r="F441" i="9"/>
  <c r="F440" i="9"/>
  <c r="AE739" i="5"/>
  <c r="AE738" i="5"/>
  <c r="AE736" i="5"/>
  <c r="AE735" i="5"/>
  <c r="AE732" i="5"/>
  <c r="AE731" i="5"/>
  <c r="AE730" i="5"/>
  <c r="AE719" i="5"/>
  <c r="F429" i="9"/>
  <c r="F417" i="9"/>
  <c r="F406" i="9"/>
  <c r="F395" i="9"/>
  <c r="AE659" i="5"/>
  <c r="AE660" i="5"/>
  <c r="AE661" i="5"/>
  <c r="AE658" i="5"/>
  <c r="F393" i="9"/>
  <c r="AE631" i="5"/>
  <c r="AE632" i="5"/>
  <c r="AE633" i="5"/>
  <c r="AE634" i="5"/>
  <c r="AE635" i="5"/>
  <c r="AE630" i="5"/>
  <c r="AE629" i="5"/>
  <c r="AE628" i="5"/>
  <c r="AE627" i="5"/>
  <c r="AE626" i="5"/>
  <c r="AE625" i="5"/>
  <c r="AE624" i="5"/>
  <c r="AE623" i="5"/>
  <c r="AE622" i="5"/>
  <c r="F388" i="9"/>
  <c r="AE589" i="5"/>
  <c r="AE590" i="5"/>
  <c r="AE591" i="5"/>
  <c r="AE592" i="5"/>
  <c r="AE593" i="5"/>
  <c r="AE594" i="5"/>
  <c r="AE588" i="5"/>
  <c r="AE571" i="5"/>
  <c r="AE572" i="5"/>
  <c r="AE573" i="5"/>
  <c r="AE574" i="5"/>
  <c r="AE575" i="5"/>
  <c r="AE576" i="5"/>
  <c r="AE577" i="5"/>
  <c r="AE578" i="5"/>
  <c r="AE579" i="5"/>
  <c r="AE580" i="5"/>
  <c r="AE570" i="5"/>
  <c r="AE537" i="5"/>
  <c r="AE536" i="5"/>
  <c r="AE535" i="5"/>
  <c r="F297" i="9"/>
  <c r="F283" i="9"/>
  <c r="F282" i="9"/>
  <c r="F276" i="9"/>
  <c r="AE447" i="5"/>
  <c r="AE448" i="5"/>
  <c r="AE449" i="5"/>
  <c r="AE450" i="5"/>
  <c r="AE451" i="5"/>
  <c r="AE452" i="5"/>
  <c r="AE453" i="5"/>
  <c r="AE454" i="5"/>
  <c r="AE455" i="5"/>
  <c r="AE456" i="5"/>
  <c r="AE457" i="5"/>
  <c r="AE458" i="5"/>
  <c r="AE459" i="5"/>
  <c r="AE460" i="5"/>
  <c r="AE461" i="5"/>
  <c r="AE462" i="5"/>
  <c r="AE463" i="5"/>
  <c r="AE464" i="5"/>
  <c r="AE465" i="5"/>
  <c r="AE466" i="5"/>
  <c r="AE467" i="5"/>
  <c r="AE446" i="5"/>
  <c r="AE445" i="5"/>
  <c r="AE444" i="5"/>
  <c r="AE443" i="5"/>
  <c r="AE442" i="5"/>
  <c r="F274" i="9"/>
  <c r="F273" i="9"/>
  <c r="AE437" i="5"/>
  <c r="AE436" i="5"/>
  <c r="AE435" i="5"/>
  <c r="AE434" i="5"/>
  <c r="AE433" i="5"/>
  <c r="AE432" i="5"/>
  <c r="F265" i="9"/>
  <c r="AE416" i="5"/>
  <c r="F264" i="9"/>
  <c r="F263" i="9"/>
  <c r="AE413" i="5"/>
  <c r="AE414" i="5"/>
  <c r="AE412" i="5"/>
  <c r="AE410" i="5"/>
  <c r="AE409" i="5"/>
  <c r="AE408" i="5"/>
  <c r="AE406" i="5"/>
  <c r="AE405" i="5"/>
  <c r="AE400" i="5"/>
  <c r="AE401" i="5"/>
  <c r="AE402" i="5"/>
  <c r="AE403" i="5"/>
  <c r="AE404" i="5"/>
  <c r="AE399" i="5"/>
  <c r="AE395" i="5"/>
  <c r="AE396" i="5"/>
  <c r="AE397" i="5"/>
  <c r="AE398" i="5"/>
  <c r="AE394" i="5"/>
  <c r="AE393" i="5"/>
  <c r="AE392" i="5"/>
  <c r="AE391" i="5"/>
  <c r="AE390" i="5"/>
  <c r="AE389" i="5"/>
  <c r="AE370" i="5"/>
  <c r="AF366" i="5"/>
  <c r="AE366" i="5"/>
  <c r="AE362" i="5"/>
  <c r="AE361" i="5"/>
  <c r="AE360" i="5"/>
  <c r="AE359" i="5"/>
  <c r="AE358" i="5"/>
  <c r="F204" i="9"/>
  <c r="F205" i="9"/>
  <c r="F206" i="9"/>
  <c r="F207" i="9"/>
  <c r="AE334" i="5"/>
  <c r="AE333" i="5"/>
  <c r="AE332" i="5"/>
  <c r="AE331" i="5"/>
  <c r="AE330" i="5"/>
  <c r="AE329" i="5"/>
  <c r="AE320" i="5"/>
  <c r="AE321" i="5"/>
  <c r="AE322" i="5"/>
  <c r="AE323" i="5"/>
  <c r="AE324" i="5"/>
  <c r="AE325" i="5"/>
  <c r="AE326" i="5"/>
  <c r="AE319" i="5"/>
  <c r="AE294" i="5"/>
  <c r="AE295" i="5"/>
  <c r="AE296" i="5"/>
  <c r="AE297" i="5"/>
  <c r="AE298" i="5"/>
  <c r="AE299" i="5"/>
  <c r="AE300" i="5"/>
  <c r="AE301" i="5"/>
  <c r="AE302" i="5"/>
  <c r="AE303" i="5"/>
  <c r="AE304" i="5"/>
  <c r="AE305" i="5"/>
  <c r="AE306" i="5"/>
  <c r="AE307" i="5"/>
  <c r="AE308" i="5"/>
  <c r="AE309" i="5"/>
  <c r="AE310" i="5"/>
  <c r="AE311" i="5"/>
  <c r="AE312" i="5"/>
  <c r="AE293" i="5"/>
  <c r="F180" i="9"/>
  <c r="AE283" i="5"/>
  <c r="AE284" i="5"/>
  <c r="AE285" i="5"/>
  <c r="AE286" i="5"/>
  <c r="AE287" i="5"/>
  <c r="AE288" i="5"/>
  <c r="AE289" i="5"/>
  <c r="AE290" i="5"/>
  <c r="AE291" i="5"/>
  <c r="AE292" i="5"/>
  <c r="AE282" i="5"/>
  <c r="F177" i="9"/>
  <c r="F178" i="9"/>
  <c r="F149" i="9"/>
  <c r="AE257" i="5"/>
  <c r="AE258" i="5"/>
  <c r="AE259" i="5"/>
  <c r="AE260" i="5"/>
  <c r="AE256" i="5"/>
  <c r="AE255" i="5"/>
  <c r="AE254" i="5"/>
  <c r="AE253" i="5"/>
  <c r="AE252" i="5"/>
  <c r="AE251" i="5"/>
  <c r="AE250" i="5"/>
  <c r="AE230" i="5"/>
  <c r="AE229" i="5"/>
  <c r="AE228" i="5"/>
  <c r="AE227" i="5"/>
  <c r="AE226" i="5"/>
  <c r="F133" i="9"/>
  <c r="F132" i="9"/>
  <c r="F131" i="9"/>
  <c r="F130" i="9"/>
  <c r="F129" i="9"/>
  <c r="F128" i="9"/>
  <c r="F127" i="9"/>
  <c r="AE211" i="5"/>
  <c r="AE209" i="5"/>
  <c r="AE207" i="5"/>
  <c r="AE203" i="5"/>
  <c r="AE199" i="5"/>
  <c r="AE198" i="5"/>
  <c r="AE196" i="5"/>
  <c r="AE191" i="5"/>
  <c r="F123" i="9"/>
  <c r="AE184" i="5"/>
  <c r="AE185" i="5"/>
  <c r="AE186" i="5"/>
  <c r="AE187" i="5"/>
  <c r="AE188" i="5"/>
  <c r="AE189" i="5"/>
  <c r="AE190" i="5"/>
  <c r="AE195" i="5"/>
  <c r="AE197" i="5"/>
  <c r="AE200" i="5"/>
  <c r="AE201" i="5"/>
  <c r="AE202" i="5"/>
  <c r="AE183" i="5"/>
  <c r="AE182" i="5"/>
  <c r="AE181" i="5"/>
  <c r="AE176" i="5"/>
  <c r="AE177" i="5"/>
  <c r="AE178" i="5"/>
  <c r="AE175" i="5"/>
  <c r="F111" i="9"/>
  <c r="F110" i="9"/>
  <c r="AE167" i="5"/>
  <c r="AE168" i="5"/>
  <c r="AE169" i="5"/>
  <c r="AE170" i="5"/>
  <c r="AE166" i="5"/>
  <c r="AE144" i="5"/>
  <c r="AE143" i="5"/>
  <c r="AE142" i="5"/>
  <c r="AE129" i="5"/>
  <c r="AE128" i="5"/>
  <c r="AE127" i="5"/>
  <c r="AE126" i="5"/>
  <c r="AE125" i="5"/>
  <c r="AE122" i="5"/>
  <c r="AE120" i="5"/>
  <c r="AE121" i="5"/>
  <c r="AE119" i="5"/>
  <c r="AE118" i="5"/>
  <c r="AE112" i="5"/>
  <c r="AE113" i="5"/>
  <c r="AE114" i="5"/>
  <c r="AE115" i="5"/>
  <c r="AE116" i="5"/>
  <c r="AE117" i="5"/>
  <c r="AE111" i="5"/>
  <c r="AE107" i="5"/>
  <c r="AE108" i="5"/>
  <c r="AE109" i="5"/>
  <c r="AE110" i="5"/>
  <c r="AE106" i="5"/>
  <c r="AE53" i="5"/>
  <c r="AE54" i="5"/>
  <c r="AE55" i="5"/>
  <c r="AE56" i="5"/>
  <c r="AE57" i="5"/>
  <c r="AE58" i="5"/>
  <c r="AE59" i="5"/>
  <c r="AE60" i="5"/>
  <c r="AE52" i="5"/>
  <c r="AE51" i="5"/>
  <c r="AE38" i="5"/>
  <c r="AE37" i="5"/>
  <c r="AE36" i="5"/>
  <c r="AE30" i="5"/>
  <c r="AE31" i="5"/>
  <c r="AE32" i="5"/>
  <c r="AE33" i="5"/>
  <c r="AE34" i="5"/>
  <c r="AE35" i="5"/>
  <c r="AE29" i="5"/>
  <c r="AE28" i="5"/>
  <c r="AE27" i="5"/>
  <c r="AE26" i="5"/>
  <c r="AE25" i="5"/>
  <c r="AE24" i="5"/>
  <c r="AE19" i="5"/>
  <c r="AE20" i="5"/>
  <c r="AE21" i="5"/>
  <c r="AE22" i="5"/>
  <c r="AE23" i="5"/>
  <c r="AE18" i="5"/>
  <c r="F3" i="9"/>
  <c r="AE4" i="5"/>
  <c r="AE5" i="5"/>
  <c r="AE6" i="5"/>
  <c r="AE14" i="5"/>
  <c r="AE15" i="5"/>
  <c r="AE16" i="5"/>
  <c r="AE17" i="5"/>
  <c r="AE3" i="5"/>
</calcChain>
</file>

<file path=xl/sharedStrings.xml><?xml version="1.0" encoding="utf-8"?>
<sst xmlns="http://schemas.openxmlformats.org/spreadsheetml/2006/main" count="26841" uniqueCount="2527">
  <si>
    <t>Bibliographic information</t>
  </si>
  <si>
    <t>Study methods</t>
  </si>
  <si>
    <t>Study outcomes</t>
  </si>
  <si>
    <t>Effect size</t>
  </si>
  <si>
    <t>Comparator (spatial)</t>
  </si>
  <si>
    <t>Comparator (temporal)</t>
  </si>
  <si>
    <t>Covidence ID</t>
  </si>
  <si>
    <t>Author / year</t>
  </si>
  <si>
    <t>Data point</t>
  </si>
  <si>
    <t>Study focus</t>
  </si>
  <si>
    <t>Outcome measure focus</t>
  </si>
  <si>
    <t>Source of data</t>
  </si>
  <si>
    <t>Data type</t>
  </si>
  <si>
    <t>Primary data collection method</t>
  </si>
  <si>
    <t>Secondary data type</t>
  </si>
  <si>
    <t>Secondary data source</t>
  </si>
  <si>
    <t>Outcome category</t>
  </si>
  <si>
    <t>Analysis</t>
  </si>
  <si>
    <t>Outcome measure</t>
  </si>
  <si>
    <t>Taxon</t>
  </si>
  <si>
    <t>Species</t>
  </si>
  <si>
    <t>Additional treatment variables</t>
  </si>
  <si>
    <t>Demographic groups</t>
  </si>
  <si>
    <t>Qualitative analysis</t>
  </si>
  <si>
    <t>Statistical analysis of impacts</t>
  </si>
  <si>
    <t>Statistical methods</t>
  </si>
  <si>
    <t>Number of reference sites (MPA)</t>
  </si>
  <si>
    <t>Number of comparator sites (OA)</t>
  </si>
  <si>
    <t>Number of reference sites (TURF)</t>
  </si>
  <si>
    <t>Number of reference sites (MEABR)</t>
  </si>
  <si>
    <t>Study start date</t>
  </si>
  <si>
    <t>Study end date</t>
  </si>
  <si>
    <t>Study duration</t>
  </si>
  <si>
    <t>Number of time intervals</t>
  </si>
  <si>
    <t>Before / after study</t>
  </si>
  <si>
    <t>BACI study</t>
  </si>
  <si>
    <t>#378</t>
  </si>
  <si>
    <t>Castilla 2007</t>
  </si>
  <si>
    <t>Environmental</t>
  </si>
  <si>
    <t>Primary</t>
  </si>
  <si>
    <t>Quantitative</t>
  </si>
  <si>
    <t>Direct non-extractive sampling</t>
  </si>
  <si>
    <t>N/A</t>
  </si>
  <si>
    <t>Size</t>
  </si>
  <si>
    <t>Inferential analysis</t>
  </si>
  <si>
    <t>Maximum holdfast diameter</t>
  </si>
  <si>
    <t>Kelp</t>
  </si>
  <si>
    <t>Durvillaea antarctica</t>
  </si>
  <si>
    <t>cm</t>
  </si>
  <si>
    <t>Habitat type</t>
  </si>
  <si>
    <t>Yes</t>
  </si>
  <si>
    <t>Kolmogorov-Smirnov test</t>
  </si>
  <si>
    <t>Density</t>
  </si>
  <si>
    <t>Total average density</t>
  </si>
  <si>
    <t>plants/m2</t>
  </si>
  <si>
    <t>Kelp age, habitat type</t>
  </si>
  <si>
    <t>ANOVA, GLM</t>
  </si>
  <si>
    <t>Biomass</t>
  </si>
  <si>
    <t>Total biomass</t>
  </si>
  <si>
    <t>kg/m2</t>
  </si>
  <si>
    <t>Population change</t>
  </si>
  <si>
    <t>Compensatory effects</t>
  </si>
  <si>
    <t>None</t>
  </si>
  <si>
    <t>Ricker/Cook logistic model</t>
  </si>
  <si>
    <t>No</t>
  </si>
  <si>
    <t>#307</t>
  </si>
  <si>
    <t>Gelcich 2012</t>
  </si>
  <si>
    <t>Mean density</t>
  </si>
  <si>
    <t>Lessonia trabeculata</t>
  </si>
  <si>
    <t>individuals/m2</t>
  </si>
  <si>
    <t>Substrate, depth</t>
  </si>
  <si>
    <t>ln response ratio</t>
  </si>
  <si>
    <t>&lt;1</t>
  </si>
  <si>
    <t>Holdfast diameter</t>
  </si>
  <si>
    <t>Mean biomass</t>
  </si>
  <si>
    <t>Mobile macroinvertebrates</t>
  </si>
  <si>
    <t>individuals/200m2</t>
  </si>
  <si>
    <t>Reef fish</t>
  </si>
  <si>
    <t>ln response ratio, MDS</t>
  </si>
  <si>
    <t>Richness</t>
  </si>
  <si>
    <t>Relative Species richness</t>
  </si>
  <si>
    <t>#276</t>
  </si>
  <si>
    <t>AlonsoVega 2014</t>
  </si>
  <si>
    <t>Lessonia nigrescens</t>
  </si>
  <si>
    <t>Kelp age</t>
  </si>
  <si>
    <t>ANOVA</t>
  </si>
  <si>
    <t>Descriptive</t>
  </si>
  <si>
    <t>Harvestable individuals (%)</t>
  </si>
  <si>
    <t>%</t>
  </si>
  <si>
    <t>#222</t>
  </si>
  <si>
    <t>Fernandez 2017</t>
  </si>
  <si>
    <t>Direct extractive sampling</t>
  </si>
  <si>
    <t>Laboratory analysis</t>
  </si>
  <si>
    <t>Body size</t>
  </si>
  <si>
    <t>Keyhole limpet</t>
  </si>
  <si>
    <t>Fissurella latimarginata</t>
  </si>
  <si>
    <t>Upwelling</t>
  </si>
  <si>
    <t>Body dry weight</t>
  </si>
  <si>
    <t>mg</t>
  </si>
  <si>
    <t>Reproductive output</t>
  </si>
  <si>
    <t>Gonadosomatic Index</t>
  </si>
  <si>
    <t>GSI</t>
  </si>
  <si>
    <t>Red sea urchin</t>
  </si>
  <si>
    <t>Loxechinus albus</t>
  </si>
  <si>
    <t>#215</t>
  </si>
  <si>
    <t>Andreu-Cazenave 2017</t>
  </si>
  <si>
    <t>Fishing pressure</t>
  </si>
  <si>
    <t>Total Instantaneous Mortality</t>
  </si>
  <si>
    <t>Loco</t>
  </si>
  <si>
    <t>Concholepas concholepas</t>
  </si>
  <si>
    <t>Z</t>
  </si>
  <si>
    <t>Site</t>
  </si>
  <si>
    <t>Keyhole limpets</t>
  </si>
  <si>
    <t>Fissurella spp</t>
  </si>
  <si>
    <t>#101</t>
  </si>
  <si>
    <t>Gonzalez-Roca 2021</t>
  </si>
  <si>
    <t>Secondary</t>
  </si>
  <si>
    <t>Landing data</t>
  </si>
  <si>
    <t>National Fisheries Service</t>
  </si>
  <si>
    <t>Lessonia spp</t>
  </si>
  <si>
    <t>Permanova</t>
  </si>
  <si>
    <t>#37</t>
  </si>
  <si>
    <t>Lopez 2024</t>
  </si>
  <si>
    <t>Mixed</t>
  </si>
  <si>
    <t>National Fisheries Service, SUBPESCA</t>
  </si>
  <si>
    <t>Durvillaea incurvata</t>
  </si>
  <si>
    <t>Season, stranded</t>
  </si>
  <si>
    <t>Length</t>
  </si>
  <si>
    <t>Buoyancy</t>
  </si>
  <si>
    <t>newtons</t>
  </si>
  <si>
    <t>Reproductive status</t>
  </si>
  <si>
    <t>Season</t>
  </si>
  <si>
    <t>Abundance</t>
  </si>
  <si>
    <t>Barnacle abundance</t>
  </si>
  <si>
    <t>Barnacle</t>
  </si>
  <si>
    <t>Lepas spp</t>
  </si>
  <si>
    <t>mm</t>
  </si>
  <si>
    <t>#23</t>
  </si>
  <si>
    <t>Contreras-Drey 2024</t>
  </si>
  <si>
    <t>Behaviour</t>
  </si>
  <si>
    <t>Flight Initiation Distance</t>
  </si>
  <si>
    <t>C. variegatus</t>
  </si>
  <si>
    <t>Size, Site</t>
  </si>
  <si>
    <t>P. chilensis</t>
  </si>
  <si>
    <t>A. punctatus</t>
  </si>
  <si>
    <t>#174</t>
  </si>
  <si>
    <t>Chaverra 2019</t>
  </si>
  <si>
    <t>Grazer</t>
  </si>
  <si>
    <t>Fissurella spp., Scurria spp., Siphonaria spp, Chiton spp., Enoplochiton niger</t>
  </si>
  <si>
    <t xml:space="preserve">Percentage cover </t>
  </si>
  <si>
    <t>Crustose coralline algae</t>
  </si>
  <si>
    <t>Grazer exclusion</t>
  </si>
  <si>
    <t>#370</t>
  </si>
  <si>
    <t>Loot 2008</t>
  </si>
  <si>
    <t>Egg number</t>
  </si>
  <si>
    <t>Trematode parasite</t>
  </si>
  <si>
    <t>Proctoeces lintoni</t>
  </si>
  <si>
    <t>no./individual</t>
  </si>
  <si>
    <t>Site, Limpet size, Parasite size, Parasite abundance</t>
  </si>
  <si>
    <t>Egg size</t>
  </si>
  <si>
    <t>μm</t>
  </si>
  <si>
    <t>Mussel</t>
  </si>
  <si>
    <t>Perumytilus purpuratus</t>
  </si>
  <si>
    <t>Fissurella crassa</t>
  </si>
  <si>
    <t>individuals/0.25m2</t>
  </si>
  <si>
    <t>Clingfish</t>
  </si>
  <si>
    <t>Sicyases sanguineus</t>
  </si>
  <si>
    <t>individuals/100m/30mins</t>
  </si>
  <si>
    <t>Parasitism</t>
  </si>
  <si>
    <t>Parasite prevalence</t>
  </si>
  <si>
    <t>Mussel, Trematode parasite</t>
  </si>
  <si>
    <t>Perumytilus purpuratus, Proctoeces lintoni</t>
  </si>
  <si>
    <t>Keyhole limpet, Trematode parasite</t>
  </si>
  <si>
    <t>Fissurella crassa, Proctoeces lintoni</t>
  </si>
  <si>
    <t>Chi squared</t>
  </si>
  <si>
    <t>Clingfish, Trematode parasite</t>
  </si>
  <si>
    <t>Sicyases sanguineus, Proctoeces lintoni</t>
  </si>
  <si>
    <t>#402</t>
  </si>
  <si>
    <t>Loot 2005</t>
  </si>
  <si>
    <t>Mean size</t>
  </si>
  <si>
    <t>Size (distribution)</t>
  </si>
  <si>
    <t>no. of individuals</t>
  </si>
  <si>
    <t>#295</t>
  </si>
  <si>
    <t>Friedlander 2013</t>
  </si>
  <si>
    <t>Qualitative</t>
  </si>
  <si>
    <t>Observation</t>
  </si>
  <si>
    <t>Community composition</t>
  </si>
  <si>
    <t>Narrative</t>
  </si>
  <si>
    <t>Taxonomic richness</t>
  </si>
  <si>
    <t>no. of taxa</t>
  </si>
  <si>
    <t>Invertebrate</t>
  </si>
  <si>
    <t>Porites</t>
  </si>
  <si>
    <t>Porites lobata</t>
  </si>
  <si>
    <t>Pocillopora</t>
  </si>
  <si>
    <t>Pocillopora spp</t>
  </si>
  <si>
    <t>Rock</t>
  </si>
  <si>
    <t>Coral, Algae</t>
  </si>
  <si>
    <t>Dead coral, turf algae</t>
  </si>
  <si>
    <t>Lobophora</t>
  </si>
  <si>
    <t>Lobophora variegata</t>
  </si>
  <si>
    <t>Fish</t>
  </si>
  <si>
    <t>Species richness</t>
  </si>
  <si>
    <t>no. of species</t>
  </si>
  <si>
    <t>t/ha</t>
  </si>
  <si>
    <t>Depth</t>
  </si>
  <si>
    <t>#292</t>
  </si>
  <si>
    <t>Wood 2013</t>
  </si>
  <si>
    <t>Fish, Trematode parasite</t>
  </si>
  <si>
    <t>C. variegatus, Encotyllabe sp</t>
  </si>
  <si>
    <t>no. of individuals per host</t>
  </si>
  <si>
    <t>GLMNB</t>
  </si>
  <si>
    <t>Fish, parasite</t>
  </si>
  <si>
    <t>C. variegatus, Lepeophtheirus sp.</t>
  </si>
  <si>
    <t>Fish, Copepod parasite</t>
  </si>
  <si>
    <t>C. variegatus,  Clavellotis dilatata</t>
  </si>
  <si>
    <t xml:space="preserve">C. variegatus, gnathiid isopods </t>
  </si>
  <si>
    <t>C. variegatus, cymothoid isopods</t>
  </si>
  <si>
    <t>C. variegatus, Microcotyle nemadactylus</t>
  </si>
  <si>
    <t>A. punctatus, Lepeophtheirus frecuens</t>
  </si>
  <si>
    <t>Fish, Copepod</t>
  </si>
  <si>
    <t xml:space="preserve">A. punctatus, Clavellotis dilatata </t>
  </si>
  <si>
    <t>A. punctatus, gnathiid isopods</t>
  </si>
  <si>
    <t>A. punctatus,</t>
  </si>
  <si>
    <t>Limpet, Trematode parasite</t>
  </si>
  <si>
    <t>Fissurella latimarginata, Proctoeces lintoni</t>
  </si>
  <si>
    <t>Red sea urchin, Parasite</t>
  </si>
  <si>
    <t>Loxechinus albus, Pinnaxodes chilensis</t>
  </si>
  <si>
    <t>#192</t>
  </si>
  <si>
    <t>AlonsoVega 2018</t>
  </si>
  <si>
    <t xml:space="preserve">Descriptive </t>
  </si>
  <si>
    <t>Lessonia berteroana</t>
  </si>
  <si>
    <t>Chemical composition</t>
  </si>
  <si>
    <t>Crude protein</t>
  </si>
  <si>
    <t>Season, morphological structure</t>
  </si>
  <si>
    <t>Total lipids</t>
  </si>
  <si>
    <t>Crude fiber</t>
  </si>
  <si>
    <t>Nitrogen Free Extract</t>
  </si>
  <si>
    <t>Ash content</t>
  </si>
  <si>
    <t>#272</t>
  </si>
  <si>
    <t>Aldana 2014</t>
  </si>
  <si>
    <t xml:space="preserve">Fissurella crassa </t>
  </si>
  <si>
    <t xml:space="preserve">Fissurella crassa, Proctoeces lintoni  </t>
  </si>
  <si>
    <t>Limpet age</t>
  </si>
  <si>
    <t>Log linear analysis (G-squared)</t>
  </si>
  <si>
    <t>Parasite intensity</t>
  </si>
  <si>
    <t>no. per individual</t>
  </si>
  <si>
    <t>ANOVA, Tukey test</t>
  </si>
  <si>
    <t>Shell length</t>
  </si>
  <si>
    <t>Parasitism, Limpet age</t>
  </si>
  <si>
    <t>#395</t>
  </si>
  <si>
    <t>Avendaño 2005</t>
  </si>
  <si>
    <t>Mark and recapture</t>
  </si>
  <si>
    <t>Cohort study</t>
  </si>
  <si>
    <t>Growth rate</t>
  </si>
  <si>
    <t>Scallop</t>
  </si>
  <si>
    <t>Argopecten purpuratus</t>
  </si>
  <si>
    <t>mm/month</t>
  </si>
  <si>
    <t>L-infinity coefficients</t>
  </si>
  <si>
    <t>Spatial</t>
  </si>
  <si>
    <t>Population change (mortality and survival)</t>
  </si>
  <si>
    <t>Catch curve (Z)</t>
  </si>
  <si>
    <t>#233</t>
  </si>
  <si>
    <t>Aldana 2016</t>
  </si>
  <si>
    <t>Taxanomic richness</t>
  </si>
  <si>
    <t>Algae, Invertebrate</t>
  </si>
  <si>
    <t>Predator exclusion</t>
  </si>
  <si>
    <t>Algae</t>
  </si>
  <si>
    <t>% cover / 5cm2</t>
  </si>
  <si>
    <t>GLM (2-way ANOVA)</t>
  </si>
  <si>
    <t>Diversity</t>
  </si>
  <si>
    <t>Shannon index</t>
  </si>
  <si>
    <t>species/5cm2</t>
  </si>
  <si>
    <t>individuals/5cm2</t>
  </si>
  <si>
    <t>#15</t>
  </si>
  <si>
    <t>Avendano 2025</t>
  </si>
  <si>
    <t>Chocolate rock shell</t>
  </si>
  <si>
    <t>Thaisella chocolata</t>
  </si>
  <si>
    <t>Crab</t>
  </si>
  <si>
    <t>Romaleon setosum</t>
  </si>
  <si>
    <t>Octopus</t>
  </si>
  <si>
    <t>Octopus mimus</t>
  </si>
  <si>
    <t>Bivalve</t>
  </si>
  <si>
    <t>T. pannosa</t>
  </si>
  <si>
    <t>T. dombeii</t>
  </si>
  <si>
    <t>#446</t>
  </si>
  <si>
    <t>ZAMORANO 1995</t>
  </si>
  <si>
    <t>Polychaete</t>
  </si>
  <si>
    <t>Phragmatopoma virgin</t>
  </si>
  <si>
    <t>individuals/64cm2</t>
  </si>
  <si>
    <t>#219</t>
  </si>
  <si>
    <t>Blanco 2017</t>
  </si>
  <si>
    <t>Fissurella Latimarginata</t>
  </si>
  <si>
    <t>GLM</t>
  </si>
  <si>
    <t>Peristomal length</t>
  </si>
  <si>
    <t>Oocytes (per female)</t>
  </si>
  <si>
    <t>no./female</t>
  </si>
  <si>
    <t>Egg production</t>
  </si>
  <si>
    <t>no./m2</t>
  </si>
  <si>
    <t>Diameter</t>
  </si>
  <si>
    <t>#155</t>
  </si>
  <si>
    <t>Fernandez 2020</t>
  </si>
  <si>
    <t>Index of availability of open areas</t>
  </si>
  <si>
    <t>Permanova, Wilcoxon test, GLM</t>
  </si>
  <si>
    <t>% Below minimum legal size</t>
  </si>
  <si>
    <t>#4</t>
  </si>
  <si>
    <t>Perez-Matus 2025</t>
  </si>
  <si>
    <t xml:space="preserve">Lessonia trabeculata </t>
  </si>
  <si>
    <t>Recovery after kelp harvesting</t>
  </si>
  <si>
    <t>Herbivores</t>
  </si>
  <si>
    <t>Underwater video cameras (RUVs)</t>
  </si>
  <si>
    <t>Video analysis</t>
  </si>
  <si>
    <t>Predation</t>
  </si>
  <si>
    <t>Bite rates</t>
  </si>
  <si>
    <t>no./minute</t>
  </si>
  <si>
    <t>#85</t>
  </si>
  <si>
    <t>Hamame 2022</t>
  </si>
  <si>
    <t>Kruskal-Wallis</t>
  </si>
  <si>
    <t>Proportional Stock Density (above MLS)</t>
  </si>
  <si>
    <t>Medium Condition Factor</t>
  </si>
  <si>
    <t xml:space="preserve">Loxechinus albus </t>
  </si>
  <si>
    <t xml:space="preserve">Bivalve </t>
  </si>
  <si>
    <t>Ameghinomya antiqua</t>
  </si>
  <si>
    <t>Average density</t>
  </si>
  <si>
    <t>Benthic fauna</t>
  </si>
  <si>
    <t>Shannon Wiener Index</t>
  </si>
  <si>
    <t>Evenness</t>
  </si>
  <si>
    <t>#450</t>
  </si>
  <si>
    <t>DAVIS 1995</t>
  </si>
  <si>
    <t>Tunicate</t>
  </si>
  <si>
    <t>Pyura chilensis</t>
  </si>
  <si>
    <t>Weight</t>
  </si>
  <si>
    <t>g</t>
  </si>
  <si>
    <t>Sexual maturity (%)</t>
  </si>
  <si>
    <t>#464</t>
  </si>
  <si>
    <t>MORENO 1986</t>
  </si>
  <si>
    <t>T-test (time and area)</t>
  </si>
  <si>
    <t>Catch analysis</t>
  </si>
  <si>
    <t>Percentage cover</t>
  </si>
  <si>
    <t xml:space="preserve">Perumytilus purpuratus, </t>
  </si>
  <si>
    <t>Underwater photography</t>
  </si>
  <si>
    <t>Population width</t>
  </si>
  <si>
    <t>m</t>
  </si>
  <si>
    <t>Wave exposure</t>
  </si>
  <si>
    <t>T-test</t>
  </si>
  <si>
    <t>Jehlius cirratu, Chthamalu scabrosus</t>
  </si>
  <si>
    <t>#107</t>
  </si>
  <si>
    <t>Gouraguine 2021</t>
  </si>
  <si>
    <t>GLMM</t>
  </si>
  <si>
    <t>No. of stipes</t>
  </si>
  <si>
    <t>no. per plant</t>
  </si>
  <si>
    <t>Total length</t>
  </si>
  <si>
    <t>#445</t>
  </si>
  <si>
    <t>Duarte 1996</t>
  </si>
  <si>
    <t>Published literature</t>
  </si>
  <si>
    <t>Fissurella limbata</t>
  </si>
  <si>
    <t>Fissurella picta</t>
  </si>
  <si>
    <t>Occurence in predator diet</t>
  </si>
  <si>
    <t>#426</t>
  </si>
  <si>
    <t>Fernández 2000</t>
  </si>
  <si>
    <t>Area</t>
  </si>
  <si>
    <t>Suitable habitat area</t>
  </si>
  <si>
    <t>Homalaspis plana</t>
  </si>
  <si>
    <t>#381</t>
  </si>
  <si>
    <t>Avendano 2007</t>
  </si>
  <si>
    <t>No. of individuals</t>
  </si>
  <si>
    <t>von Bertalanffy growth curve</t>
  </si>
  <si>
    <t>Spat abundance</t>
  </si>
  <si>
    <t>no./collector</t>
  </si>
  <si>
    <t>Spat shell length</t>
  </si>
  <si>
    <t>Recruitment</t>
  </si>
  <si>
    <t>#62</t>
  </si>
  <si>
    <t>Avendano 2023</t>
  </si>
  <si>
    <t>Depth, sex</t>
  </si>
  <si>
    <t>#389</t>
  </si>
  <si>
    <t>Diaz 2006</t>
  </si>
  <si>
    <t>Larvae density</t>
  </si>
  <si>
    <t>no./m3</t>
  </si>
  <si>
    <t>Shell height</t>
  </si>
  <si>
    <t>Size (proportion &gt; 170)</t>
  </si>
  <si>
    <t>Spat size</t>
  </si>
  <si>
    <t>#377</t>
  </si>
  <si>
    <t>Silva 2007</t>
  </si>
  <si>
    <r>
      <rPr>
        <sz val="11"/>
        <color rgb="FF000000"/>
        <rFont val="Calibri"/>
        <scheme val="minor"/>
      </rPr>
      <t xml:space="preserve">Chlorophyll </t>
    </r>
    <r>
      <rPr>
        <i/>
        <sz val="11"/>
        <color rgb="FF000000"/>
        <rFont val="Calibri"/>
        <scheme val="minor"/>
      </rPr>
      <t xml:space="preserve">a </t>
    </r>
    <r>
      <rPr>
        <sz val="11"/>
        <color rgb="FF000000"/>
        <rFont val="Calibri"/>
        <scheme val="minor"/>
      </rPr>
      <t>concentration</t>
    </r>
  </si>
  <si>
    <t>Phytoplankton</t>
  </si>
  <si>
    <t>μg/L</t>
  </si>
  <si>
    <t>Phaeopigment concentration</t>
  </si>
  <si>
    <t>Cell count</t>
  </si>
  <si>
    <t>cells/mL</t>
  </si>
  <si>
    <t>Larval abundance</t>
  </si>
  <si>
    <t>individuals/m3</t>
  </si>
  <si>
    <t>Vertical distribution</t>
  </si>
  <si>
    <t>Non-parametric anova (time)</t>
  </si>
  <si>
    <t>Larval shell width</t>
  </si>
  <si>
    <t>Growth equations</t>
  </si>
  <si>
    <t>ANOVA (time)</t>
  </si>
  <si>
    <t>#151</t>
  </si>
  <si>
    <t>Beckensteiner 2020</t>
  </si>
  <si>
    <t>Economic</t>
  </si>
  <si>
    <t>Catch data (SERNAPESCA)</t>
  </si>
  <si>
    <t>Catch per unit effort</t>
  </si>
  <si>
    <t>mt/month/diver</t>
  </si>
  <si>
    <t>GIS (Google Earth)</t>
  </si>
  <si>
    <t>Landings</t>
  </si>
  <si>
    <t>Catch per unit area</t>
  </si>
  <si>
    <t>mt/month/km2</t>
  </si>
  <si>
    <t xml:space="preserve">Fissurella spp </t>
  </si>
  <si>
    <t>Nonparametric Wilcoxon (regime)</t>
  </si>
  <si>
    <t>Nonparametric Wilcoxon (regime), Mixed-effects model (time)</t>
  </si>
  <si>
    <t>mt/month/collector</t>
  </si>
  <si>
    <t>#199</t>
  </si>
  <si>
    <t>Friedlander 2018</t>
  </si>
  <si>
    <t>Canopy biomass density</t>
  </si>
  <si>
    <t>Kruskal-Wallis rank-sum test</t>
  </si>
  <si>
    <t>Stipe density</t>
  </si>
  <si>
    <t>Macrocystis pyrifera, Lessonia spp</t>
  </si>
  <si>
    <t>stipes/m2</t>
  </si>
  <si>
    <t>Invertebrates</t>
  </si>
  <si>
    <t>Species abundance</t>
  </si>
  <si>
    <t>no. of species/m2</t>
  </si>
  <si>
    <t>Shannon-Wiener Index</t>
  </si>
  <si>
    <t>Shannon-Weaver Index</t>
  </si>
  <si>
    <t>no. of species/transect</t>
  </si>
  <si>
    <t>Benthic cover</t>
  </si>
  <si>
    <t>Benthic taxa</t>
  </si>
  <si>
    <t>#283</t>
  </si>
  <si>
    <t>Carcamo 2013</t>
  </si>
  <si>
    <t>Social</t>
  </si>
  <si>
    <t>Interview</t>
  </si>
  <si>
    <t>Survey</t>
  </si>
  <si>
    <t>Official documents</t>
  </si>
  <si>
    <t>User perception</t>
  </si>
  <si>
    <t>Effectiveness of governance</t>
  </si>
  <si>
    <t>Fishing Leaders (6)</t>
  </si>
  <si>
    <t>Grounded theory</t>
  </si>
  <si>
    <t>Stakeholder participation</t>
  </si>
  <si>
    <t>Ecological effectiveness</t>
  </si>
  <si>
    <t>Resource use and valuation</t>
  </si>
  <si>
    <t>Tourists (50)</t>
  </si>
  <si>
    <t>#255</t>
  </si>
  <si>
    <t>deJuan 2015</t>
  </si>
  <si>
    <t>Social-environmental</t>
  </si>
  <si>
    <t xml:space="preserve">Landings </t>
  </si>
  <si>
    <t>tonnes/year</t>
  </si>
  <si>
    <t>DPSIR framework</t>
  </si>
  <si>
    <t>Questionnaire</t>
  </si>
  <si>
    <t>Proportion of fishers that catch target species</t>
  </si>
  <si>
    <t>% (of fishers)</t>
  </si>
  <si>
    <t>Artisanal fishermen (99)</t>
  </si>
  <si>
    <t xml:space="preserve">Resource use and valuation </t>
  </si>
  <si>
    <t>Tourists (602), Residents (300)</t>
  </si>
  <si>
    <t>weight/m2</t>
  </si>
  <si>
    <t>Quasipoisson</t>
  </si>
  <si>
    <t>Macro-invertebrates</t>
  </si>
  <si>
    <t>#354</t>
  </si>
  <si>
    <t>Gelcich 2009</t>
  </si>
  <si>
    <t>Focus group</t>
  </si>
  <si>
    <t>Compliance</t>
  </si>
  <si>
    <t>Livelihood strategy</t>
  </si>
  <si>
    <t>Fishers (143), Fishing union Directorates</t>
  </si>
  <si>
    <t>Cultural identity impacts</t>
  </si>
  <si>
    <t>#375</t>
  </si>
  <si>
    <t>Thompson 2008</t>
  </si>
  <si>
    <t>Management plan</t>
  </si>
  <si>
    <t>Management</t>
  </si>
  <si>
    <t>Gap analysis (ISO 14001 criteria)</t>
  </si>
  <si>
    <t>#121</t>
  </si>
  <si>
    <t>Aburto 2020</t>
  </si>
  <si>
    <t>Participant observation</t>
  </si>
  <si>
    <t>Meeting minutes</t>
  </si>
  <si>
    <t>Historical documentation</t>
  </si>
  <si>
    <t>Fishers, Leaders of fisher's organisations (4), Commissioners (CODEIPA) (3), Indigenous community leader (1), Leader of sport divers organisation (1), Government official (SERNAPESCA), other (3)</t>
  </si>
  <si>
    <t>Ocean grabbing framework</t>
  </si>
  <si>
    <t>Fishers, Leaders of fisher's organisations (4), Commissioners (CODEIPA) (3), Indigenous community leader (1), Leader of sport divers organisation (1), Government official (SERNAPESCA) (1), other (3)</t>
  </si>
  <si>
    <t>Wellbeing impacts</t>
  </si>
  <si>
    <t>#280</t>
  </si>
  <si>
    <t>Aburto 2014</t>
  </si>
  <si>
    <t>Surf clam</t>
  </si>
  <si>
    <t>tonnes/month</t>
  </si>
  <si>
    <t>Proportion above Minimum Catch Length</t>
  </si>
  <si>
    <t>Catch effort</t>
  </si>
  <si>
    <t>No. of fishers</t>
  </si>
  <si>
    <t>Historical documents</t>
  </si>
  <si>
    <t>#92</t>
  </si>
  <si>
    <t>Aburto 2021</t>
  </si>
  <si>
    <t>Participatory workshops</t>
  </si>
  <si>
    <t>Leaders of fisher's organisations (2), Fishers (4), commerical committees (3), resident (1)</t>
  </si>
  <si>
    <t>Dynamic causal technique</t>
  </si>
  <si>
    <t>#146</t>
  </si>
  <si>
    <t>Anbleyth-Evans 2020</t>
  </si>
  <si>
    <t>Fishers, Seaweed farmer unions, Government institutions, NGO staff, aquaculture workers</t>
  </si>
  <si>
    <t>Thematic analysis</t>
  </si>
  <si>
    <t>#129</t>
  </si>
  <si>
    <t>Brain 2020</t>
  </si>
  <si>
    <t>Food / economic security impacts</t>
  </si>
  <si>
    <t>Artisanal fishers, Researchers, State representatives, Tour operators (=86)</t>
  </si>
  <si>
    <t>#10</t>
  </si>
  <si>
    <t>Franco-Melendez 2025</t>
  </si>
  <si>
    <t>Fishers (117)</t>
  </si>
  <si>
    <t>MICMAC structural analysis</t>
  </si>
  <si>
    <t>Fishers (117), Experts (15)</t>
  </si>
  <si>
    <t>#678</t>
  </si>
  <si>
    <t>Gallardo-Fernández 2011</t>
  </si>
  <si>
    <t>Social-economic</t>
  </si>
  <si>
    <t>Participatory Rural Appraisal (PRA)</t>
  </si>
  <si>
    <t>Government officials (SUBPESCA) (8), Researchers (4), Fishers' leaders (1), Fishers, Other (4)</t>
  </si>
  <si>
    <t>Official reports (SERNAPESCA)</t>
  </si>
  <si>
    <t>Income</t>
  </si>
  <si>
    <t>Quota</t>
  </si>
  <si>
    <t>kg</t>
  </si>
  <si>
    <t xml:space="preserve">Extraction </t>
  </si>
  <si>
    <t>Total value</t>
  </si>
  <si>
    <t>pesos</t>
  </si>
  <si>
    <t>Price</t>
  </si>
  <si>
    <t>pesos/kg</t>
  </si>
  <si>
    <t>US$</t>
  </si>
  <si>
    <t>Net income per member</t>
  </si>
  <si>
    <t>pesos/member</t>
  </si>
  <si>
    <t>#304</t>
  </si>
  <si>
    <t>Aburto 2013</t>
  </si>
  <si>
    <t>Fishers</t>
  </si>
  <si>
    <t>Landing data (SERNAPESCA)</t>
  </si>
  <si>
    <t>Technical reports (SUBPESCA)</t>
  </si>
  <si>
    <t>Giant squid</t>
  </si>
  <si>
    <t>tonnes</t>
  </si>
  <si>
    <t>Finfish</t>
  </si>
  <si>
    <t>Seaweed</t>
  </si>
  <si>
    <t>Benthic invertebrates</t>
  </si>
  <si>
    <t>Piure</t>
  </si>
  <si>
    <t>Pelillo</t>
  </si>
  <si>
    <t>US$/unit</t>
  </si>
  <si>
    <t>Total income</t>
  </si>
  <si>
    <t xml:space="preserve">Quota </t>
  </si>
  <si>
    <t>US$/kg</t>
  </si>
  <si>
    <t>Net income per capita</t>
  </si>
  <si>
    <t>#1</t>
  </si>
  <si>
    <t>Ruz 2025</t>
  </si>
  <si>
    <t>Survival rate (between size classes)</t>
  </si>
  <si>
    <t>transition Markov probability</t>
  </si>
  <si>
    <t>Survival rate</t>
  </si>
  <si>
    <t>Holdfast length</t>
  </si>
  <si>
    <t>Anova (type 2)</t>
  </si>
  <si>
    <t xml:space="preserve">Biomass </t>
  </si>
  <si>
    <t>Monthly growth rate (Holdfast diameter)</t>
  </si>
  <si>
    <t>Monthly growth rate (Total length)</t>
  </si>
  <si>
    <t>Monthly growth rate (Biomass)</t>
  </si>
  <si>
    <t>#3</t>
  </si>
  <si>
    <t>Gonzalez-Roca 2026</t>
  </si>
  <si>
    <t xml:space="preserve">Survey </t>
  </si>
  <si>
    <t>Fishers (62)</t>
  </si>
  <si>
    <t>Multinomial logistic regression</t>
  </si>
  <si>
    <t>#493</t>
  </si>
  <si>
    <t>Gres 2024</t>
  </si>
  <si>
    <t>MaxN (no. of individuals in frame)</t>
  </si>
  <si>
    <t>Kruskal-Wallis, Mann-Witney paired</t>
  </si>
  <si>
    <t>Assemblage structure</t>
  </si>
  <si>
    <t>Depth, Habitat</t>
  </si>
  <si>
    <t>PERMANOVA (time), Analysis of similarity percentages (SIMPER)</t>
  </si>
  <si>
    <t>Shannon Diversity Index</t>
  </si>
  <si>
    <t>Simpson's Index</t>
  </si>
  <si>
    <t>Pielou's J Index</t>
  </si>
  <si>
    <t>#223</t>
  </si>
  <si>
    <t>Perez-Matus 2017</t>
  </si>
  <si>
    <t>g/m2</t>
  </si>
  <si>
    <t>GLMM, VPC (variance partition coefficient)</t>
  </si>
  <si>
    <t>Canopy foliage</t>
  </si>
  <si>
    <t>Foliage Index</t>
  </si>
  <si>
    <t>Tagula</t>
  </si>
  <si>
    <t>Upwelling, Presence on kelp</t>
  </si>
  <si>
    <t>Crustose algae</t>
  </si>
  <si>
    <t>Turf algae</t>
  </si>
  <si>
    <t>Filter feeders</t>
  </si>
  <si>
    <t>Understory species</t>
  </si>
  <si>
    <t>PERMANOVA</t>
  </si>
  <si>
    <t>#657</t>
  </si>
  <si>
    <t>Almanza 2013</t>
  </si>
  <si>
    <t>Macrocystis pyrifera</t>
  </si>
  <si>
    <t>Macroalgae</t>
  </si>
  <si>
    <t>Kelp presence</t>
  </si>
  <si>
    <t>Snail</t>
  </si>
  <si>
    <t>Tegula spp</t>
  </si>
  <si>
    <t>Taliepus spp</t>
  </si>
  <si>
    <t xml:space="preserve">Meyenaster gelatinosus </t>
  </si>
  <si>
    <t>Stichaster striatus</t>
  </si>
  <si>
    <t>Cancer edwardsii</t>
  </si>
  <si>
    <t>#242</t>
  </si>
  <si>
    <t>Biggs 2016</t>
  </si>
  <si>
    <t>Divers (135)</t>
  </si>
  <si>
    <t>Willingness to pay</t>
  </si>
  <si>
    <t>WTP for access</t>
  </si>
  <si>
    <t>#161</t>
  </si>
  <si>
    <t>Avendano 2019</t>
  </si>
  <si>
    <t>Artificial collectors</t>
  </si>
  <si>
    <t>Temperature</t>
  </si>
  <si>
    <t>Larvae settlement (artificial collectors)</t>
  </si>
  <si>
    <t>individuals/collector</t>
  </si>
  <si>
    <t>Larvae settlement (seaweed)</t>
  </si>
  <si>
    <t>Larvae settlement density (artificial collectors)</t>
  </si>
  <si>
    <t>larvae/g</t>
  </si>
  <si>
    <t>Linear model</t>
  </si>
  <si>
    <t>#122</t>
  </si>
  <si>
    <t>Albornoz 2020</t>
  </si>
  <si>
    <t>OPA leaders (14), Government officials (8), Consultants (16)</t>
  </si>
  <si>
    <t>Situational organizational network analysis (SONA)</t>
  </si>
  <si>
    <t>#303</t>
  </si>
  <si>
    <t>Economic-environmental</t>
  </si>
  <si>
    <t xml:space="preserve">Landings data </t>
  </si>
  <si>
    <t>Macha</t>
  </si>
  <si>
    <t>Mesodesma donacium</t>
  </si>
  <si>
    <t>Harvest</t>
  </si>
  <si>
    <t>Recommended quota</t>
  </si>
  <si>
    <t>Maximum quota</t>
  </si>
  <si>
    <t>Spatial distribution</t>
  </si>
  <si>
    <t>no. of individuals (millions)</t>
  </si>
  <si>
    <t xml:space="preserve">Yes </t>
  </si>
  <si>
    <t>#50</t>
  </si>
  <si>
    <t>Albornoz 2024</t>
  </si>
  <si>
    <t>Legitimacy matrix</t>
  </si>
  <si>
    <t>Fishers (17)</t>
  </si>
  <si>
    <t>Situational organisational network analysis (SONA)</t>
  </si>
  <si>
    <t>#191</t>
  </si>
  <si>
    <t>Oyanedel 2018</t>
  </si>
  <si>
    <t>Randomised response technique (RRT)</t>
  </si>
  <si>
    <t>Landings data (SERNAPESCA)</t>
  </si>
  <si>
    <t>Landings (illegal)</t>
  </si>
  <si>
    <t>Proportion engaged in illegal extraction</t>
  </si>
  <si>
    <t>Fishers (110)</t>
  </si>
  <si>
    <t>price/unit</t>
  </si>
  <si>
    <t>Price (oversized catch)</t>
  </si>
  <si>
    <t>#86</t>
  </si>
  <si>
    <t>Romero 2022</t>
  </si>
  <si>
    <t>Illegal extraction</t>
  </si>
  <si>
    <t>unit/day</t>
  </si>
  <si>
    <t>Abundance, TURF age, TURF size, Surveillance costs</t>
  </si>
  <si>
    <t>Fishers associations representatives (100)</t>
  </si>
  <si>
    <t>Multivariate regression model</t>
  </si>
  <si>
    <t>No. of poaching events</t>
  </si>
  <si>
    <t>days</t>
  </si>
  <si>
    <t>Poaching % of quota</t>
  </si>
  <si>
    <t xml:space="preserve">Surveillance costs </t>
  </si>
  <si>
    <t>Sanctioned poaching</t>
  </si>
  <si>
    <t>Poaching complaints</t>
  </si>
  <si>
    <t>#78</t>
  </si>
  <si>
    <t>Cerda 2022</t>
  </si>
  <si>
    <t>TURF size</t>
  </si>
  <si>
    <t>Linear mixed models</t>
  </si>
  <si>
    <t>#225</t>
  </si>
  <si>
    <t>Crona 2017</t>
  </si>
  <si>
    <t>Subtidal species</t>
  </si>
  <si>
    <t>ln Response ratio</t>
  </si>
  <si>
    <t>Fishers (184)</t>
  </si>
  <si>
    <t>Social Network Analysis, Multidimensional scaling plot (MDS)</t>
  </si>
  <si>
    <t>#109</t>
  </si>
  <si>
    <t>Fernandez 2021</t>
  </si>
  <si>
    <t>World Database on Protected Areas</t>
  </si>
  <si>
    <t>UNEP (United Nations Environment Programme)</t>
  </si>
  <si>
    <t>Area protected</t>
  </si>
  <si>
    <t>km2</t>
  </si>
  <si>
    <t>Level of protection, Ecoregion</t>
  </si>
  <si>
    <t>Chi-squared</t>
  </si>
  <si>
    <t>Multiple</t>
  </si>
  <si>
    <t>Number of protected areas</t>
  </si>
  <si>
    <t>No.</t>
  </si>
  <si>
    <t>% of EEZ</t>
  </si>
  <si>
    <t>Ecoregion</t>
  </si>
  <si>
    <t>#2</t>
  </si>
  <si>
    <t>Sapag 2025</t>
  </si>
  <si>
    <t>Global Biodiversity Information Facility</t>
  </si>
  <si>
    <t>NASA Ocean Colour</t>
  </si>
  <si>
    <t>Global fishing watch</t>
  </si>
  <si>
    <t>Habitat suitability</t>
  </si>
  <si>
    <t>Humpback whale</t>
  </si>
  <si>
    <t>Megaptera novaengliae</t>
  </si>
  <si>
    <t>% protected</t>
  </si>
  <si>
    <t>Probability of presence</t>
  </si>
  <si>
    <t>#150</t>
  </si>
  <si>
    <t>Arias 2020</t>
  </si>
  <si>
    <t>Social-economic-environmental</t>
  </si>
  <si>
    <t>Monitoring reports (SUBPESCA)</t>
  </si>
  <si>
    <t>Population indices (abundance + size structure)</t>
  </si>
  <si>
    <t>% (categories)</t>
  </si>
  <si>
    <t>Fishers (286)</t>
  </si>
  <si>
    <t>Assessment criteria</t>
  </si>
  <si>
    <t>Cluster analysis, PCA</t>
  </si>
  <si>
    <t>Productivity (capture/quota ratio + yield)</t>
  </si>
  <si>
    <t>Economic indices (income, per capita income)</t>
  </si>
  <si>
    <t>Social indices (schooling, housing)</t>
  </si>
  <si>
    <t>Institutional indices (activity, committment, responsibilities)</t>
  </si>
  <si>
    <t>#55</t>
  </si>
  <si>
    <t>Arias 2023</t>
  </si>
  <si>
    <t>no.</t>
  </si>
  <si>
    <t>Number of fishers</t>
  </si>
  <si>
    <t>no. of fishers</t>
  </si>
  <si>
    <t>Landings (per capita)</t>
  </si>
  <si>
    <t>no./fisher</t>
  </si>
  <si>
    <t xml:space="preserve">Income </t>
  </si>
  <si>
    <t>Maximum Income Loss</t>
  </si>
  <si>
    <t>Lessonia sp., Macrocystis sp.</t>
  </si>
  <si>
    <t>Algae, Loco</t>
  </si>
  <si>
    <t>Lessonia sp., Macrocystis sp., Concholepas concholepas</t>
  </si>
  <si>
    <t>#133</t>
  </si>
  <si>
    <t>Anguita 2020</t>
  </si>
  <si>
    <t>Quotas (SUBPESCA)</t>
  </si>
  <si>
    <t>Total Allowed Catch</t>
  </si>
  <si>
    <t>Temperature, TURF size, no. of fishers, upwelling</t>
  </si>
  <si>
    <t>Bayesian generalized linear multilevel models</t>
  </si>
  <si>
    <t>#503</t>
  </si>
  <si>
    <t>Avendaño 2023</t>
  </si>
  <si>
    <t>Published studies</t>
  </si>
  <si>
    <t>% (age classes)</t>
  </si>
  <si>
    <t>Total mortality</t>
  </si>
  <si>
    <t>Ln abundance</t>
  </si>
  <si>
    <t>Fishing mortality</t>
  </si>
  <si>
    <t>F</t>
  </si>
  <si>
    <t>Recruits</t>
  </si>
  <si>
    <t>Parent population</t>
  </si>
  <si>
    <t xml:space="preserve">#76 </t>
  </si>
  <si>
    <t>Avendano 2022</t>
  </si>
  <si>
    <t>Larvae abundance</t>
  </si>
  <si>
    <t>Larvae settlement</t>
  </si>
  <si>
    <t xml:space="preserve">Larvae size </t>
  </si>
  <si>
    <t>#312</t>
  </si>
  <si>
    <t>Zapata 2012</t>
  </si>
  <si>
    <t>Contamination</t>
  </si>
  <si>
    <t>Copper concentration</t>
  </si>
  <si>
    <t>μg/gwwt</t>
  </si>
  <si>
    <t>Digestive gland / gills</t>
  </si>
  <si>
    <t>ANOVA, Tukey multiple comparison</t>
  </si>
  <si>
    <t>Lead concentration</t>
  </si>
  <si>
    <t>Cadmium concentration</t>
  </si>
  <si>
    <t>GPX gene expression</t>
  </si>
  <si>
    <t>relative expression</t>
  </si>
  <si>
    <t>GST gene expression</t>
  </si>
  <si>
    <t>HSP70 gene expression</t>
  </si>
  <si>
    <t>MT concentration</t>
  </si>
  <si>
    <t>mg/gwwt</t>
  </si>
  <si>
    <t>#322</t>
  </si>
  <si>
    <t>Squeo 2012</t>
  </si>
  <si>
    <t>Chilean Ministry of National Heritage</t>
  </si>
  <si>
    <t>WWF</t>
  </si>
  <si>
    <t>Gap analysis</t>
  </si>
  <si>
    <t>#279</t>
  </si>
  <si>
    <t>Rosas 2014</t>
  </si>
  <si>
    <t>Technical reports</t>
  </si>
  <si>
    <t>Fishers' organisation leaders (45)</t>
  </si>
  <si>
    <t>Income (per capita)</t>
  </si>
  <si>
    <t>Mixed effects model</t>
  </si>
  <si>
    <t>#113</t>
  </si>
  <si>
    <t>Romero 2021</t>
  </si>
  <si>
    <t>Undersecretariat for Fisheries</t>
  </si>
  <si>
    <t>Ministry of Social Development</t>
  </si>
  <si>
    <t>Gross income (per capita)</t>
  </si>
  <si>
    <t>Difference in Difference Matching model</t>
  </si>
  <si>
    <t>#71</t>
  </si>
  <si>
    <t>Quezada 2023</t>
  </si>
  <si>
    <t>SUBPESCA</t>
  </si>
  <si>
    <t>National Fisheries Service (SERNAPESCA)</t>
  </si>
  <si>
    <t>Stochastic frontier model</t>
  </si>
  <si>
    <t>Technical inefficiency</t>
  </si>
  <si>
    <t>Non-recorded extraction</t>
  </si>
  <si>
    <t>#367</t>
  </si>
  <si>
    <t>Avendano 2008</t>
  </si>
  <si>
    <t>Gonad Index</t>
  </si>
  <si>
    <t>GI</t>
  </si>
  <si>
    <t>Larvae stage</t>
  </si>
  <si>
    <t>#397</t>
  </si>
  <si>
    <t>Cantillanez 2005</t>
  </si>
  <si>
    <t>Gonadosomatic Index (GSI)</t>
  </si>
  <si>
    <t xml:space="preserve">Gonad maturity stage </t>
  </si>
  <si>
    <t>Relative frequency</t>
  </si>
  <si>
    <t>cells/ml</t>
  </si>
  <si>
    <t>μg/l</t>
  </si>
  <si>
    <t xml:space="preserve">#176 </t>
  </si>
  <si>
    <t>Carcamo 2019</t>
  </si>
  <si>
    <t>Aerial census</t>
  </si>
  <si>
    <t>Stranding records (SERNAPESCA)</t>
  </si>
  <si>
    <t>Social media</t>
  </si>
  <si>
    <t>Proportion of haul-out sites protected</t>
  </si>
  <si>
    <t>Southern elephant seal</t>
  </si>
  <si>
    <t>Mirounga leonina</t>
  </si>
  <si>
    <t>Presence of pups</t>
  </si>
  <si>
    <t>Proportion of sightings</t>
  </si>
  <si>
    <t>#108</t>
  </si>
  <si>
    <t>Gonzalez 2021</t>
  </si>
  <si>
    <t>g/m2/year</t>
  </si>
  <si>
    <t>Functional group</t>
  </si>
  <si>
    <t>Catches (wet weight)</t>
  </si>
  <si>
    <t>Ecosystem functioning</t>
  </si>
  <si>
    <t>Turnover rate</t>
  </si>
  <si>
    <t>Consumption rate</t>
  </si>
  <si>
    <t>Ecotrophic efficiency</t>
  </si>
  <si>
    <t>Gross efficiency (ecosystem)</t>
  </si>
  <si>
    <t>Exports</t>
  </si>
  <si>
    <t>Respiratory flows</t>
  </si>
  <si>
    <t>Detritus flows</t>
  </si>
  <si>
    <t>System throughput</t>
  </si>
  <si>
    <t>Total production</t>
  </si>
  <si>
    <t>Mean trophic level of catch</t>
  </si>
  <si>
    <t>Gross efficiency (fisheries)</t>
  </si>
  <si>
    <t>catch/NPP</t>
  </si>
  <si>
    <t>Total NPP (net primary production)</t>
  </si>
  <si>
    <t>Net system production</t>
  </si>
  <si>
    <t>Finn's Cycling Index</t>
  </si>
  <si>
    <t>No. of pathways</t>
  </si>
  <si>
    <t>Average path length</t>
  </si>
  <si>
    <t>APL</t>
  </si>
  <si>
    <t>Food web connectance</t>
  </si>
  <si>
    <t>Omnivory index</t>
  </si>
  <si>
    <t>Mean transfer efficiency</t>
  </si>
  <si>
    <t>Keystoneness</t>
  </si>
  <si>
    <t>Keystoneness Index</t>
  </si>
  <si>
    <t>KSi</t>
  </si>
  <si>
    <t>#52</t>
  </si>
  <si>
    <t>Huaiquimilla-Guerrero 2023</t>
  </si>
  <si>
    <t>Gray literature</t>
  </si>
  <si>
    <t>Ministry of Environment + Ministry of Public Works</t>
  </si>
  <si>
    <t>Modes of participation</t>
  </si>
  <si>
    <t>% (of MPAs)</t>
  </si>
  <si>
    <t>Indigenous Peoples</t>
  </si>
  <si>
    <t>% (area)</t>
  </si>
  <si>
    <t>#311</t>
  </si>
  <si>
    <t>Lee 2012</t>
  </si>
  <si>
    <t xml:space="preserve">Macrofauna, Meiofauna </t>
  </si>
  <si>
    <t>Artifical plates</t>
  </si>
  <si>
    <t>NMDS</t>
  </si>
  <si>
    <t>SIMPER analysis, ANOSIM</t>
  </si>
  <si>
    <t>Amphipod</t>
  </si>
  <si>
    <t>no./35cm2</t>
  </si>
  <si>
    <t>#216</t>
  </si>
  <si>
    <t>Avendano 2017</t>
  </si>
  <si>
    <t>Spatial distribution, Depth, Algae cover</t>
  </si>
  <si>
    <t>Cohort</t>
  </si>
  <si>
    <t>#163</t>
  </si>
  <si>
    <t>Luna-Jorquera 2019</t>
  </si>
  <si>
    <t>Litter collection</t>
  </si>
  <si>
    <t>Macrolitter presence</t>
  </si>
  <si>
    <t>no. of items</t>
  </si>
  <si>
    <t>Macrolitter source</t>
  </si>
  <si>
    <t>#187</t>
  </si>
  <si>
    <t>Chavez 2018</t>
  </si>
  <si>
    <t>Response scale (1-10)</t>
  </si>
  <si>
    <t>TURF members (210), Students (204)</t>
  </si>
  <si>
    <t>Dynamic common pool resource experiment</t>
  </si>
  <si>
    <t>#416</t>
  </si>
  <si>
    <t>Cornelius 2001</t>
  </si>
  <si>
    <t>Coastal birds</t>
  </si>
  <si>
    <t>No. of individuals/1.5km</t>
  </si>
  <si>
    <t>Tidal height, Littoral/intertidal zone</t>
  </si>
  <si>
    <t>#501</t>
  </si>
  <si>
    <t>Chávez 2023</t>
  </si>
  <si>
    <t>TURF members (258), Students (228)</t>
  </si>
  <si>
    <t>#214</t>
  </si>
  <si>
    <t>Davis 2017</t>
  </si>
  <si>
    <t>Best-worst case scaling</t>
  </si>
  <si>
    <t>No. of respondents</t>
  </si>
  <si>
    <t>TURF members (52)</t>
  </si>
  <si>
    <t>Conditional logit model</t>
  </si>
  <si>
    <t>#154</t>
  </si>
  <si>
    <t>Ebel 2020</t>
  </si>
  <si>
    <t>Ethnography</t>
  </si>
  <si>
    <t>Fishers (26), Union leaders (4), Indigenous community leader (1)</t>
  </si>
  <si>
    <t xml:space="preserve">Cultural identity impacts </t>
  </si>
  <si>
    <t xml:space="preserve">#288 </t>
  </si>
  <si>
    <t>FranciscoCarcamo 2013</t>
  </si>
  <si>
    <t>Legal documents</t>
  </si>
  <si>
    <t>Relevant stakeholders (42) = Tourism enterprise (4), Local people (3), Artisanal fishermen (10), Government agencies / representatives (18), NGOs (2), Researchers (4), Technical consultant (1)</t>
  </si>
  <si>
    <t>Ecosystem model network, gap analysis</t>
  </si>
  <si>
    <t>#250</t>
  </si>
  <si>
    <t>Haro 2016</t>
  </si>
  <si>
    <t>Biological sample</t>
  </si>
  <si>
    <t>Carbon isotope values</t>
  </si>
  <si>
    <t>Megaptera novaeangliae</t>
  </si>
  <si>
    <t>δ</t>
  </si>
  <si>
    <t>Age class, sex</t>
  </si>
  <si>
    <t>Nitrogen isotope values</t>
  </si>
  <si>
    <t>Diet composition</t>
  </si>
  <si>
    <t>Humpback whale, Lobster krill, Fuegian sprat, Crustacea</t>
  </si>
  <si>
    <t>Whale individual</t>
  </si>
  <si>
    <t>Krill</t>
  </si>
  <si>
    <t>Euphausia lucens</t>
  </si>
  <si>
    <t>Lobster krill</t>
  </si>
  <si>
    <t>Munida gregaria</t>
  </si>
  <si>
    <t>Fuegian sprat</t>
  </si>
  <si>
    <t>Sprattus fueguensis</t>
  </si>
  <si>
    <t>#361</t>
  </si>
  <si>
    <t>Mortality</t>
  </si>
  <si>
    <t>μm/day</t>
  </si>
  <si>
    <t>Linear regression, T-test</t>
  </si>
  <si>
    <t>Chlorophyll a concentration</t>
  </si>
  <si>
    <t>Temperature, POM</t>
  </si>
  <si>
    <t>#103</t>
  </si>
  <si>
    <t>Franco-Melendez 2021</t>
  </si>
  <si>
    <t>RAPFISH criteria</t>
  </si>
  <si>
    <t>Fishers (76), Fishing leaders (27)</t>
  </si>
  <si>
    <t>RAPFISH sustainability score</t>
  </si>
  <si>
    <t>MDS, Kruskal non-metric stress</t>
  </si>
  <si>
    <t>Sensitivity analysis</t>
  </si>
  <si>
    <t>Harvest yield</t>
  </si>
  <si>
    <t>#230</t>
  </si>
  <si>
    <t>Gelcich 2017</t>
  </si>
  <si>
    <t>% of responses</t>
  </si>
  <si>
    <t>Fishers (535)</t>
  </si>
  <si>
    <t>Kruskal Wallis test</t>
  </si>
  <si>
    <t>#374</t>
  </si>
  <si>
    <t>Thebault 2008</t>
  </si>
  <si>
    <t>Shell growth rate</t>
  </si>
  <si>
    <t>POC, temperature, salinity, dissolved oxygen</t>
  </si>
  <si>
    <t>Von Bertalanffy growth curve</t>
  </si>
  <si>
    <t>Growth Performance Index</t>
  </si>
  <si>
    <t>φ</t>
  </si>
  <si>
    <t>#490</t>
  </si>
  <si>
    <t>Vallejos 2024</t>
  </si>
  <si>
    <t>News articles</t>
  </si>
  <si>
    <t>TURF members (34), Experts (5), Poachers (3), SUBPESCA directors (2), SERNAPESCA director (1)</t>
  </si>
  <si>
    <t>Thematic content analysis, Crime script analysis</t>
  </si>
  <si>
    <t>#396</t>
  </si>
  <si>
    <t>Gelcich 2005</t>
  </si>
  <si>
    <t>score (1-5 scale)</t>
  </si>
  <si>
    <t>MDS (Bray-Curtis), ANOSIM, SIMPER</t>
  </si>
  <si>
    <t>#202</t>
  </si>
  <si>
    <t>Santos-Carvallo 2018</t>
  </si>
  <si>
    <t>Photo-identification</t>
  </si>
  <si>
    <t>Annual Occurrence Index (AOI)</t>
  </si>
  <si>
    <t>Bottlenose Dolphin</t>
  </si>
  <si>
    <t>Tursiops truncatus</t>
  </si>
  <si>
    <t>AOI value</t>
  </si>
  <si>
    <t>Mann-Whitney U test</t>
  </si>
  <si>
    <t>Phase Occurrence Index (POI)</t>
  </si>
  <si>
    <t>POI value</t>
  </si>
  <si>
    <t>individuals / sighting</t>
  </si>
  <si>
    <t>individuals / hour</t>
  </si>
  <si>
    <t>Resightings</t>
  </si>
  <si>
    <t>resighting rate / hour</t>
  </si>
  <si>
    <t>Standardised Annual Frequency of Behavior (SFBa)</t>
  </si>
  <si>
    <t>SFBa</t>
  </si>
  <si>
    <t>#135</t>
  </si>
  <si>
    <t>Ospina-Alvarez 2020</t>
  </si>
  <si>
    <t>Larval productivity</t>
  </si>
  <si>
    <t>scale factor</t>
  </si>
  <si>
    <t>Larval connectivity</t>
  </si>
  <si>
    <t>Loco, Keyhole limpet, Red sea urchin</t>
  </si>
  <si>
    <t>probability (connectivity matrix)</t>
  </si>
  <si>
    <t>#626</t>
  </si>
  <si>
    <t>Santis 2015</t>
  </si>
  <si>
    <t>Livelihood strategy, Income</t>
  </si>
  <si>
    <t>Fishers (180)</t>
  </si>
  <si>
    <t>Tobit model</t>
  </si>
  <si>
    <t>#68</t>
  </si>
  <si>
    <t>Droguett 2023</t>
  </si>
  <si>
    <t>Census</t>
  </si>
  <si>
    <t>No. of chicks</t>
  </si>
  <si>
    <t>Black-browed albatross</t>
  </si>
  <si>
    <t>Thalassarche melanophrys</t>
  </si>
  <si>
    <t>No. of eggs</t>
  </si>
  <si>
    <t>No. of active nests</t>
  </si>
  <si>
    <t>no. of nests</t>
  </si>
  <si>
    <t>Predator abundance</t>
  </si>
  <si>
    <t>Camera traps</t>
  </si>
  <si>
    <t>No. of predators</t>
  </si>
  <si>
    <t>Raptor</t>
  </si>
  <si>
    <t>Andean condor</t>
  </si>
  <si>
    <t>Vultur gryphus</t>
  </si>
  <si>
    <t xml:space="preserve">% presence </t>
  </si>
  <si>
    <t>Southern caracara</t>
  </si>
  <si>
    <t>Caracara plancus</t>
  </si>
  <si>
    <t>% presence</t>
  </si>
  <si>
    <t>Chimango caracara</t>
  </si>
  <si>
    <t>Milvago chimango chimango</t>
  </si>
  <si>
    <t>Turkey vulture</t>
  </si>
  <si>
    <t>Cathartes aura jota</t>
  </si>
  <si>
    <t>#117</t>
  </si>
  <si>
    <t>RAPFISH score</t>
  </si>
  <si>
    <t>Livelihood strategy, Gender</t>
  </si>
  <si>
    <t>Fishers (117), Decision-makers (7), Academics (9), Consultants (4)</t>
  </si>
  <si>
    <t>#12</t>
  </si>
  <si>
    <t>Romero 2025</t>
  </si>
  <si>
    <t>Workshop</t>
  </si>
  <si>
    <t>Reports (Undersecretariat of Fisheries and Aquaculture)</t>
  </si>
  <si>
    <t>Clam, Kelp, Keyhole limpet, Loco, Sea urchin</t>
  </si>
  <si>
    <t>Normalised evaluation score</t>
  </si>
  <si>
    <t>Historical Trend Density (HTD)</t>
  </si>
  <si>
    <t>Index</t>
  </si>
  <si>
    <t>Temporal Density Ratio (TDR)</t>
  </si>
  <si>
    <t>Area Quality Index</t>
  </si>
  <si>
    <t>Income-Cost Ratio</t>
  </si>
  <si>
    <t>Ratio</t>
  </si>
  <si>
    <t>Gross profit per partner</t>
  </si>
  <si>
    <t>Profit/partner</t>
  </si>
  <si>
    <t>Beach price ratio</t>
  </si>
  <si>
    <t>Report timeliness</t>
  </si>
  <si>
    <t>Report quality</t>
  </si>
  <si>
    <t>#331</t>
  </si>
  <si>
    <t>Gallardo 2011</t>
  </si>
  <si>
    <t>Official reports</t>
  </si>
  <si>
    <t>Fishers (57)</t>
  </si>
  <si>
    <t>#164</t>
  </si>
  <si>
    <t>Monnahan 2019</t>
  </si>
  <si>
    <t>Survey (CEQUA and INACH)</t>
  </si>
  <si>
    <t>Observations (unique)</t>
  </si>
  <si>
    <t>Humpback whales</t>
  </si>
  <si>
    <t>no. of observations</t>
  </si>
  <si>
    <t>Observations (new)</t>
  </si>
  <si>
    <t>individuals/area</t>
  </si>
  <si>
    <t>Bayesian mark-recapture model</t>
  </si>
  <si>
    <t>Relative detection</t>
  </si>
  <si>
    <t>probability (0-1)</t>
  </si>
  <si>
    <t>Population growth rate</t>
  </si>
  <si>
    <t>#496</t>
  </si>
  <si>
    <t>Molinet 2023</t>
  </si>
  <si>
    <t>Benthic macrofauna</t>
  </si>
  <si>
    <t>Marine/estuarine</t>
  </si>
  <si>
    <t>Shannon Index</t>
  </si>
  <si>
    <t>Dominance Index</t>
  </si>
  <si>
    <t>Bray-Curtis similarity</t>
  </si>
  <si>
    <t>ANOSIM</t>
  </si>
  <si>
    <t>Epibenthic megafauna</t>
  </si>
  <si>
    <t>Birds</t>
  </si>
  <si>
    <t xml:space="preserve">Birds </t>
  </si>
  <si>
    <t>Nest abundance</t>
  </si>
  <si>
    <t>Chick presence</t>
  </si>
  <si>
    <t>presence/absence</t>
  </si>
  <si>
    <t>Mammal</t>
  </si>
  <si>
    <t>#119</t>
  </si>
  <si>
    <t>Morales 2021</t>
  </si>
  <si>
    <t>Capture and tagging</t>
  </si>
  <si>
    <t>Time spent in MPA</t>
  </si>
  <si>
    <t>Yellowtail amberjack</t>
  </si>
  <si>
    <t>Seriola lalandi</t>
  </si>
  <si>
    <t>Galapagos shark</t>
  </si>
  <si>
    <t>Carcharhinus galapagensis</t>
  </si>
  <si>
    <t>Automatic Identification System (AIS)</t>
  </si>
  <si>
    <t>Fishing activities detected</t>
  </si>
  <si>
    <t>no. of activities</t>
  </si>
  <si>
    <t>#274</t>
  </si>
  <si>
    <t>Molina 2014</t>
  </si>
  <si>
    <t>Presence / absence</t>
  </si>
  <si>
    <t>Macroinvertebrates</t>
  </si>
  <si>
    <t>Porifera (X5)</t>
  </si>
  <si>
    <t>Bryozoa (X1)</t>
  </si>
  <si>
    <t>Cnidaria (X14)</t>
  </si>
  <si>
    <t>Arthropoda (X14)</t>
  </si>
  <si>
    <t>Gastropoda (X22)</t>
  </si>
  <si>
    <t>Polyplacophora (X5)</t>
  </si>
  <si>
    <t>Echinodermata (X5)</t>
  </si>
  <si>
    <t>Bivalvia (X2)</t>
  </si>
  <si>
    <t>Ascidiacea (X1)</t>
  </si>
  <si>
    <t>diversity/0.25m2</t>
  </si>
  <si>
    <t>richness/0.25m2</t>
  </si>
  <si>
    <t>Mobile / sessile</t>
  </si>
  <si>
    <t>Red sea urchin, Loco, Keyhole limpet</t>
  </si>
  <si>
    <t>MDS, ANOSIM</t>
  </si>
  <si>
    <t>#210</t>
  </si>
  <si>
    <t>Mattos 2017</t>
  </si>
  <si>
    <t>Sex</t>
  </si>
  <si>
    <t>Sexual organ size</t>
  </si>
  <si>
    <t>Vas Deferens Sequence Index</t>
  </si>
  <si>
    <t>index</t>
  </si>
  <si>
    <t>Imposex occurrence</t>
  </si>
  <si>
    <t xml:space="preserve">Female sterility </t>
  </si>
  <si>
    <t>TOC, granulometry</t>
  </si>
  <si>
    <t>Sediment sample</t>
  </si>
  <si>
    <t xml:space="preserve">Tributyltin concentration </t>
  </si>
  <si>
    <t>ngSn/g</t>
  </si>
  <si>
    <t xml:space="preserve">Dibutyltin concentration </t>
  </si>
  <si>
    <t xml:space="preserve">Monobutyltin concentration </t>
  </si>
  <si>
    <t>Butyltin concetration</t>
  </si>
  <si>
    <t xml:space="preserve">Butyltin degradation indices (BDI) </t>
  </si>
  <si>
    <t>Lipid content, Visceral coil / foot tissue</t>
  </si>
  <si>
    <t>#120</t>
  </si>
  <si>
    <t>Plaza 2021</t>
  </si>
  <si>
    <t>Presence / absence (individuals)</t>
  </si>
  <si>
    <t>Seabirds</t>
  </si>
  <si>
    <t>presence / absence</t>
  </si>
  <si>
    <t>Prehistoric / historical time</t>
  </si>
  <si>
    <t>Presence / absence (nests)</t>
  </si>
  <si>
    <t>B-turnover</t>
  </si>
  <si>
    <t>Jaccard dissimilarity</t>
  </si>
  <si>
    <t>B-nestedness</t>
  </si>
  <si>
    <t>B-diversity</t>
  </si>
  <si>
    <t>Functional trait diversity</t>
  </si>
  <si>
    <t>Convex hull area</t>
  </si>
  <si>
    <t>PCA, non-parametricrandom permutation tests</t>
  </si>
  <si>
    <t>Shannon-Weiner Index</t>
  </si>
  <si>
    <t>#286</t>
  </si>
  <si>
    <t>Reyes-Arriagada 2013</t>
  </si>
  <si>
    <t>Occupied burrows</t>
  </si>
  <si>
    <t xml:space="preserve">Humboldt penguin and Magellanic penguin </t>
  </si>
  <si>
    <t>Spheniscus humboldti, Spheniscus magellanicus</t>
  </si>
  <si>
    <t>% with Chicks alone</t>
  </si>
  <si>
    <t>Unoccupied burrows</t>
  </si>
  <si>
    <t>Collapsed burrows</t>
  </si>
  <si>
    <t>Nest materials</t>
  </si>
  <si>
    <t>#234</t>
  </si>
  <si>
    <t>Manriquez 2016</t>
  </si>
  <si>
    <t>Pyura praeputialis</t>
  </si>
  <si>
    <t>Mortality (matrices openings)</t>
  </si>
  <si>
    <t>no. of openings</t>
  </si>
  <si>
    <t xml:space="preserve">Kruskal–Wallis H test </t>
  </si>
  <si>
    <t>no. of larvae stages</t>
  </si>
  <si>
    <t>Linear regression</t>
  </si>
  <si>
    <t>#170</t>
  </si>
  <si>
    <t>Sepulveda 2019</t>
  </si>
  <si>
    <t>Grey literature</t>
  </si>
  <si>
    <t>millions/year</t>
  </si>
  <si>
    <t>SERNAPESCA</t>
  </si>
  <si>
    <t>tons/year</t>
  </si>
  <si>
    <t>#417</t>
  </si>
  <si>
    <t>Manriquez 2001</t>
  </si>
  <si>
    <t>Growth stage</t>
  </si>
  <si>
    <t>Peristome length</t>
  </si>
  <si>
    <t>No. of capsules</t>
  </si>
  <si>
    <t>capsules/100m</t>
  </si>
  <si>
    <t>individuals/100m</t>
  </si>
  <si>
    <t>Capsule length</t>
  </si>
  <si>
    <t>Area occupied</t>
  </si>
  <si>
    <t>m2</t>
  </si>
  <si>
    <t>capsules/90m2</t>
  </si>
  <si>
    <t>individuals/90m2</t>
  </si>
  <si>
    <t>#382</t>
  </si>
  <si>
    <t>Gelcich 2007</t>
  </si>
  <si>
    <t>Bidding game</t>
  </si>
  <si>
    <t>Income, age, gender, livelihood strategy</t>
  </si>
  <si>
    <t>#372</t>
  </si>
  <si>
    <t>Gelcich 2008</t>
  </si>
  <si>
    <t>Kelp type</t>
  </si>
  <si>
    <t>Sessile species</t>
  </si>
  <si>
    <t>Macroinvertebrate</t>
  </si>
  <si>
    <t>ANOSIM, SIMPER</t>
  </si>
  <si>
    <t>individuals/100m2</t>
  </si>
  <si>
    <t>#39</t>
  </si>
  <si>
    <t>Suazo 2024</t>
  </si>
  <si>
    <t>Parental attendance</t>
  </si>
  <si>
    <t>White-capped albatross</t>
  </si>
  <si>
    <t>T. steadi</t>
  </si>
  <si>
    <t>no. of visits</t>
  </si>
  <si>
    <t>Visit time</t>
  </si>
  <si>
    <t>time of day</t>
  </si>
  <si>
    <t>Visit duration</t>
  </si>
  <si>
    <t>minutes</t>
  </si>
  <si>
    <t>#368</t>
  </si>
  <si>
    <t>Likert scale</t>
  </si>
  <si>
    <t>Age, Income, Non-fishing activities, Monitoring costs, Union income, Time since MEABR established</t>
  </si>
  <si>
    <t>Fishers (217)</t>
  </si>
  <si>
    <t>Kruskal-Wallis test, Multiple regression analysis</t>
  </si>
  <si>
    <t>#369</t>
  </si>
  <si>
    <t>Pollack 2008</t>
  </si>
  <si>
    <t>Fishers (12)</t>
  </si>
  <si>
    <t>Grounded theory, IBEFish criteria</t>
  </si>
  <si>
    <t>#30</t>
  </si>
  <si>
    <t>Nykol 2024</t>
  </si>
  <si>
    <t>Benthic assemblages</t>
  </si>
  <si>
    <t>Diversity (α)</t>
  </si>
  <si>
    <t>Diversity permutation test</t>
  </si>
  <si>
    <t>Simpson Index</t>
  </si>
  <si>
    <t xml:space="preserve">Diversity (β) </t>
  </si>
  <si>
    <t>Ecological connectivity</t>
  </si>
  <si>
    <t>Functional diversity</t>
  </si>
  <si>
    <t>% (traits)</t>
  </si>
  <si>
    <t>Diet, larval development</t>
  </si>
  <si>
    <t>Diversity permutation test, PCA, PERMANOVA</t>
  </si>
  <si>
    <t>#413</t>
  </si>
  <si>
    <t>Martínez 2002</t>
  </si>
  <si>
    <t>Settlement</t>
  </si>
  <si>
    <t>individuals/day/collector</t>
  </si>
  <si>
    <t>Substrate type</t>
  </si>
  <si>
    <t>ANOVA (time only)</t>
  </si>
  <si>
    <t>Notobalanus flosculus</t>
  </si>
  <si>
    <t>% cover</t>
  </si>
  <si>
    <t>#440</t>
  </si>
  <si>
    <t>Moreno 1998</t>
  </si>
  <si>
    <t>Settlement (recruits)</t>
  </si>
  <si>
    <t>individuals/45m2</t>
  </si>
  <si>
    <t>SOI (Southern Oscillation Index), upwelling</t>
  </si>
  <si>
    <t>#398</t>
  </si>
  <si>
    <t>Government representative (1), Syndicates' commission (9), Directorate (11), Syndicate members (33)</t>
  </si>
  <si>
    <t>Discourse analysis</t>
  </si>
  <si>
    <t>Multivariate analysis, MDS, ANOSIM</t>
  </si>
  <si>
    <t>#289</t>
  </si>
  <si>
    <t>Gelcich 2013</t>
  </si>
  <si>
    <t xml:space="preserve">Contingent valuation </t>
  </si>
  <si>
    <t>% (scale)</t>
  </si>
  <si>
    <t>Income, education</t>
  </si>
  <si>
    <t>Tourists (604)</t>
  </si>
  <si>
    <t>Mann-Whitney test</t>
  </si>
  <si>
    <t>Willingness to pay (entry fee)</t>
  </si>
  <si>
    <t>WTP (US$)</t>
  </si>
  <si>
    <t>Weibull Proportional Hazards Regression Model</t>
  </si>
  <si>
    <t>#391</t>
  </si>
  <si>
    <t>Gonzalez 2006</t>
  </si>
  <si>
    <t>Suitable habitat used for MEABR</t>
  </si>
  <si>
    <t>ha</t>
  </si>
  <si>
    <t>MEABR no.</t>
  </si>
  <si>
    <t>no. of MEABRs</t>
  </si>
  <si>
    <t>no. of trips</t>
  </si>
  <si>
    <t>Estimated illegal catch</t>
  </si>
  <si>
    <t>catch/hour</t>
  </si>
  <si>
    <t>individuals/hour</t>
  </si>
  <si>
    <t>indiviudals/m2</t>
  </si>
  <si>
    <t>#79</t>
  </si>
  <si>
    <t>Petit 2022</t>
  </si>
  <si>
    <t>Flight Initiation Distance (FID)</t>
  </si>
  <si>
    <t>Kyphosus sandwicensis</t>
  </si>
  <si>
    <t>ANOVA, PERMANOVA</t>
  </si>
  <si>
    <t>Acanthurus leucopareius</t>
  </si>
  <si>
    <t>ANOVA, GLMM, Likelihood ratio test</t>
  </si>
  <si>
    <t>Fleeing distance</t>
  </si>
  <si>
    <t>Fish length</t>
  </si>
  <si>
    <t>#246</t>
  </si>
  <si>
    <t>Oyanedel 2016</t>
  </si>
  <si>
    <t>Social network analysis</t>
  </si>
  <si>
    <t>Likert scale (1-5)</t>
  </si>
  <si>
    <t>Mann-Whitney U, Cliff's Delta</t>
  </si>
  <si>
    <t>% (satisfaction)</t>
  </si>
  <si>
    <t>Mann-Whitney U</t>
  </si>
  <si>
    <t>#198</t>
  </si>
  <si>
    <t>Petit 2018</t>
  </si>
  <si>
    <t>Size of area protected</t>
  </si>
  <si>
    <t>no. of areas</t>
  </si>
  <si>
    <t>Management plan quality</t>
  </si>
  <si>
    <t>Level of protection</t>
  </si>
  <si>
    <t>IUCN PAME criteria</t>
  </si>
  <si>
    <t>#213</t>
  </si>
  <si>
    <t>Ruano-Chamorro 2017</t>
  </si>
  <si>
    <t>Landings data</t>
  </si>
  <si>
    <t>Fishing experience</t>
  </si>
  <si>
    <t>Fishers (41)</t>
  </si>
  <si>
    <t>Wilcoxon sum of ranks test</t>
  </si>
  <si>
    <t>kg/hour</t>
  </si>
  <si>
    <t>Catch composition</t>
  </si>
  <si>
    <t>#512</t>
  </si>
  <si>
    <t>Marín 2023</t>
  </si>
  <si>
    <t>Disaster impacts</t>
  </si>
  <si>
    <t>% (responses)</t>
  </si>
  <si>
    <t>#112</t>
  </si>
  <si>
    <t>Garmendia 2021</t>
  </si>
  <si>
    <t>Landings (SERNAPESCA)</t>
  </si>
  <si>
    <t>Index of availability</t>
  </si>
  <si>
    <t>ANOVA, Spearman rank correlation coefficient, GLMM</t>
  </si>
  <si>
    <t>#20</t>
  </si>
  <si>
    <t>Harms 2024</t>
  </si>
  <si>
    <t>Geographical Information Systems (GIS)</t>
  </si>
  <si>
    <t>Aquaculture concessions</t>
  </si>
  <si>
    <t>No. of areas</t>
  </si>
  <si>
    <t>Granted/pending</t>
  </si>
  <si>
    <t>Global Fishing Watch (Vessel Monitoring System)</t>
  </si>
  <si>
    <t>Area occupied by fishing vessel traffic</t>
  </si>
  <si>
    <t>Level of intensity, activity type</t>
  </si>
  <si>
    <t>#18</t>
  </si>
  <si>
    <t>Zucconi 2024</t>
  </si>
  <si>
    <t>Databases (OBIS, WORMS, museums, GBIF)</t>
  </si>
  <si>
    <t xml:space="preserve">UNEP-WCMC </t>
  </si>
  <si>
    <t>Proportion protected</t>
  </si>
  <si>
    <t>RaoQ</t>
  </si>
  <si>
    <t>Functional redundancy</t>
  </si>
  <si>
    <t>#302</t>
  </si>
  <si>
    <t>Ortiz 2013</t>
  </si>
  <si>
    <t>Catches</t>
  </si>
  <si>
    <t>Benthic communities</t>
  </si>
  <si>
    <t>Functional Keystoneness Index</t>
  </si>
  <si>
    <t>Topologial-structural Keystoneness Index</t>
  </si>
  <si>
    <t>Qualitative Keystoneness Index</t>
  </si>
  <si>
    <t>#316</t>
  </si>
  <si>
    <t>Almanza 2012</t>
  </si>
  <si>
    <t>2-way ANOVA</t>
  </si>
  <si>
    <t xml:space="preserve">Direct extractive sampling </t>
  </si>
  <si>
    <t>Gastropod</t>
  </si>
  <si>
    <t>Tegula spp.</t>
  </si>
  <si>
    <t>individuals/area/day</t>
  </si>
  <si>
    <t>Fissurella spp.</t>
  </si>
  <si>
    <t>Ascidian</t>
  </si>
  <si>
    <t>Ciona intestinalis</t>
  </si>
  <si>
    <t>Mytilidae</t>
  </si>
  <si>
    <t>Pilumnoides perlatus</t>
  </si>
  <si>
    <t>Taliepus spp.</t>
  </si>
  <si>
    <t>Bibliographic</t>
  </si>
  <si>
    <t>ID</t>
  </si>
  <si>
    <t>Author</t>
  </si>
  <si>
    <t>Site name(s)</t>
  </si>
  <si>
    <t>Type(s) of SMM
Reserve, Park, MEABR, MPA, Multiple use MPA, National protected asset</t>
  </si>
  <si>
    <t>Age of SMM (years) (establishment-completed data collection)</t>
  </si>
  <si>
    <t>Size of SMM (ha)</t>
  </si>
  <si>
    <t>Description of location</t>
  </si>
  <si>
    <t>Latitude</t>
  </si>
  <si>
    <t>Longitude</t>
  </si>
  <si>
    <t>Management information (fishing)</t>
  </si>
  <si>
    <t>Management information (excluding fishing)</t>
  </si>
  <si>
    <t>Governance</t>
  </si>
  <si>
    <t>Study environment</t>
  </si>
  <si>
    <t>Las Cruces ECIM (Estacion Costera de Investigaciones Marinas)</t>
  </si>
  <si>
    <t>No-take MPA</t>
  </si>
  <si>
    <t>Not given</t>
  </si>
  <si>
    <t>Punta El Lacho coast, Las Cruces</t>
  </si>
  <si>
    <t>33°30′ S</t>
  </si>
  <si>
    <t> 71°38′ W</t>
  </si>
  <si>
    <t>No take, Fencing</t>
  </si>
  <si>
    <t>No access, Fencing</t>
  </si>
  <si>
    <t>Inshore</t>
  </si>
  <si>
    <t xml:space="preserve">Las Cruces ECIM (Estacion Costera de Investigaciones Marinas)
</t>
  </si>
  <si>
    <t>Las Cruces</t>
  </si>
  <si>
    <t>No-take</t>
  </si>
  <si>
    <t>Pontificia Universidad Católica</t>
  </si>
  <si>
    <t>Unspecified / not named</t>
  </si>
  <si>
    <t>TURF</t>
  </si>
  <si>
    <t>North of Algarrobo, 40km North of Las Cruces</t>
  </si>
  <si>
    <t>Low-enforcement</t>
  </si>
  <si>
    <t>Artisanal fishers</t>
  </si>
  <si>
    <t>El Quisco</t>
  </si>
  <si>
    <t>High-enforcement</t>
  </si>
  <si>
    <t>Between Las Cruces and El Quisco</t>
  </si>
  <si>
    <t>Isla Grande de Atacama</t>
  </si>
  <si>
    <t>Northern Chilean coast</t>
  </si>
  <si>
    <t>27,248° S</t>
  </si>
  <si>
    <t>70,974° W</t>
  </si>
  <si>
    <t>No harvest / extraction</t>
  </si>
  <si>
    <t>Isla Choros Marine Reserve</t>
  </si>
  <si>
    <t>Isla Choros</t>
  </si>
  <si>
    <t>29,259° S</t>
  </si>
  <si>
    <t>71,535° W</t>
  </si>
  <si>
    <t>Totoral Bajo</t>
  </si>
  <si>
    <t xml:space="preserve">MEABR </t>
  </si>
  <si>
    <t>27,757° S</t>
  </si>
  <si>
    <t>71,064° W</t>
  </si>
  <si>
    <t>Caleta Angosta</t>
  </si>
  <si>
    <t>28,250° S</t>
  </si>
  <si>
    <t>71,163 ° W</t>
  </si>
  <si>
    <t>Lagunillas</t>
  </si>
  <si>
    <t>30,103° S</t>
  </si>
  <si>
    <t>71,383° W</t>
  </si>
  <si>
    <t>Talquilla</t>
  </si>
  <si>
    <t>30,864° S</t>
  </si>
  <si>
    <t>71,683° W</t>
  </si>
  <si>
    <t>Between 32.6ºS 
and 33.5ºS</t>
  </si>
  <si>
    <t>Maitencillo</t>
  </si>
  <si>
    <t>Laguna Verde</t>
  </si>
  <si>
    <t>Quintay</t>
  </si>
  <si>
    <t>Between 33°11’ and 33°30’ S.</t>
  </si>
  <si>
    <t>Algarrobo</t>
  </si>
  <si>
    <t>Artisanal fishers, National Fisheries Service</t>
  </si>
  <si>
    <t>Algarrobo </t>
  </si>
  <si>
    <t xml:space="preserve">Algarrobo </t>
  </si>
  <si>
    <t>MPA</t>
  </si>
  <si>
    <t>Between 26° S and 32° S</t>
  </si>
  <si>
    <t>Multi-use management, restricted harvesting</t>
  </si>
  <si>
    <t>Isla Choros-Damas</t>
  </si>
  <si>
    <t>30.9 S</t>
  </si>
  <si>
    <t>North Mediterranean District (MED)</t>
  </si>
  <si>
    <t>Between 33°S-37°S</t>
  </si>
  <si>
    <t>No / low harvest</t>
  </si>
  <si>
    <t>Benthic</t>
  </si>
  <si>
    <t>Meridional District (MD)</t>
  </si>
  <si>
    <t>Between 37°S-42°S</t>
  </si>
  <si>
    <t>Intermediate harvest</t>
  </si>
  <si>
    <t>Artisanal fishers, Government</t>
  </si>
  <si>
    <t>South Mediterranean District (MED)</t>
  </si>
  <si>
    <t>South Meridional District (MD)</t>
  </si>
  <si>
    <t>Las Cruces, Valparaiso region</t>
  </si>
  <si>
    <t xml:space="preserve">Pontificia Universidad Catolica de Chile </t>
  </si>
  <si>
    <t>Coastal</t>
  </si>
  <si>
    <t>Valparaiso region</t>
  </si>
  <si>
    <t>Valparaiso</t>
  </si>
  <si>
    <t>Quintero</t>
  </si>
  <si>
    <t xml:space="preserve"> Las Cruces</t>
  </si>
  <si>
    <t>Tarapaca Region</t>
  </si>
  <si>
    <t>Estación Costera de Investigaciones Marinas (ECIM)</t>
  </si>
  <si>
    <t>10ha</t>
  </si>
  <si>
    <t>Fishermen's Union</t>
  </si>
  <si>
    <t>Las Cruces (ECIM)</t>
  </si>
  <si>
    <t>33°31′ S</t>
  </si>
  <si>
    <t>Pontificia Universidad Católica de Chile</t>
  </si>
  <si>
    <t>Caleta El Quisco</t>
  </si>
  <si>
    <t>MEA</t>
  </si>
  <si>
    <t>33° 23′ S</t>
  </si>
  <si>
    <t>71° 42′ W</t>
  </si>
  <si>
    <t>Regulated catch sizes and amounts</t>
  </si>
  <si>
    <t>Motu Motiro Hiva Marine Park</t>
  </si>
  <si>
    <t>15000000 ha</t>
  </si>
  <si>
    <t>Salas y Gomez Island</t>
  </si>
  <si>
    <t>Government</t>
  </si>
  <si>
    <t xml:space="preserve">Las Cruces </t>
  </si>
  <si>
    <t>20ha</t>
  </si>
  <si>
    <t>Closed to public</t>
  </si>
  <si>
    <t>Caleto El Quisco</t>
  </si>
  <si>
    <t>MEABR</t>
  </si>
  <si>
    <t>186ha</t>
  </si>
  <si>
    <t>Territorial user rights</t>
  </si>
  <si>
    <t xml:space="preserve">Caleta Algarrobo </t>
  </si>
  <si>
    <t>250ha</t>
  </si>
  <si>
    <t>30º50’S</t>
  </si>
  <si>
    <t xml:space="preserve"> 71º41’W</t>
  </si>
  <si>
    <t>Fishery Associations</t>
  </si>
  <si>
    <t>Intertidal</t>
  </si>
  <si>
    <t>30º01’’S</t>
  </si>
  <si>
    <t>71º23’’W</t>
  </si>
  <si>
    <t xml:space="preserve">162 ha </t>
  </si>
  <si>
    <t>33°10′S</t>
  </si>
  <si>
    <t>71°41′W</t>
  </si>
  <si>
    <t>344 ha</t>
  </si>
  <si>
    <t>33°23′S</t>
  </si>
  <si>
    <t>71°42′W</t>
  </si>
  <si>
    <t>85 ha</t>
  </si>
  <si>
    <t>33°18′S</t>
  </si>
  <si>
    <t>71°38′W</t>
  </si>
  <si>
    <t>La Rinconada Marine Reserve</t>
  </si>
  <si>
    <t>Marine reserve</t>
  </si>
  <si>
    <t>La Rinconada, Antofagasta Bay</t>
  </si>
  <si>
    <t>23º28′S</t>
  </si>
  <si>
    <t>70º30′W</t>
  </si>
  <si>
    <t>Playa Chica, Quintay</t>
  </si>
  <si>
    <t>33°11′S</t>
  </si>
  <si>
    <t>71°1′W</t>
  </si>
  <si>
    <t>300 ha</t>
  </si>
  <si>
    <t>Mehuin Marine Reserve</t>
  </si>
  <si>
    <t>Mehuin</t>
  </si>
  <si>
    <t>39" 24' S</t>
  </si>
  <si>
    <t>73" 13'</t>
  </si>
  <si>
    <t>Universidad Austral de Chile</t>
  </si>
  <si>
    <t>Between 32.61°S and
33.50°S</t>
  </si>
  <si>
    <t>Chungungo (Temblador)</t>
  </si>
  <si>
    <t>Chungungo</t>
  </si>
  <si>
    <t>Between 
29°27’S and 33°22’S</t>
  </si>
  <si>
    <t>Annual quotas, Temporary reproductive ban, Minimum legal size</t>
  </si>
  <si>
    <t>Chungungo (Sector D)</t>
  </si>
  <si>
    <t>Chungungo E</t>
  </si>
  <si>
    <t>Hornos (Sector B)</t>
  </si>
  <si>
    <t>Hornos</t>
  </si>
  <si>
    <t xml:space="preserve">Hornos </t>
  </si>
  <si>
    <t xml:space="preserve">Huentelauquen </t>
  </si>
  <si>
    <t xml:space="preserve">Chigualoco </t>
  </si>
  <si>
    <t>Chigualoco (Boca del Barco)</t>
  </si>
  <si>
    <t>Chigualoco (Chepiquilla)</t>
  </si>
  <si>
    <t>San Pedro (Nague B)</t>
  </si>
  <si>
    <t>San Pedro</t>
  </si>
  <si>
    <t>San Pedro (Nague)</t>
  </si>
  <si>
    <t>Las Conchas (Sector C Lvlc)</t>
  </si>
  <si>
    <t>Las Conchas</t>
  </si>
  <si>
    <t xml:space="preserve">Pichidangui </t>
  </si>
  <si>
    <t>Los Molles (Playa Los Molles)</t>
  </si>
  <si>
    <t>Los Molles</t>
  </si>
  <si>
    <t>Pichicuy</t>
  </si>
  <si>
    <t>Papudo</t>
  </si>
  <si>
    <t>Papudo (Punta Pite)</t>
  </si>
  <si>
    <t>Horcon</t>
  </si>
  <si>
    <t>Quintay (Sector B Qui)</t>
  </si>
  <si>
    <t>Quintay (Sector A Qui)</t>
  </si>
  <si>
    <t>Algarrobo (Sector C Alg)</t>
  </si>
  <si>
    <t>Algarrobo (Sector A Alg)</t>
  </si>
  <si>
    <t>Northern coast</t>
  </si>
  <si>
    <t>27°S</t>
  </si>
  <si>
    <t>Subtidal</t>
  </si>
  <si>
    <t>Northern-central coast</t>
  </si>
  <si>
    <t>29°S</t>
  </si>
  <si>
    <t>Central coast</t>
  </si>
  <si>
    <t>32°S</t>
  </si>
  <si>
    <t>Guaitecas</t>
  </si>
  <si>
    <t>Melinka Cove, Las Guaitecas achipelago</t>
  </si>
  <si>
    <t>43.9°S</t>
  </si>
  <si>
    <t>Puerto Gala Cove, Moraleda Channel</t>
  </si>
  <si>
    <t>44.2◦S</t>
  </si>
  <si>
    <t>Huichas</t>
  </si>
  <si>
    <t>Puerto Aguirre Cove, Moraleda Channel</t>
  </si>
  <si>
    <t>45.2◦S</t>
  </si>
  <si>
    <t>39° 24' S</t>
  </si>
  <si>
    <t>73°13' W</t>
  </si>
  <si>
    <t xml:space="preserve">Between 36°09,277' S and 23°24, 7′ S </t>
  </si>
  <si>
    <t>Reserve</t>
  </si>
  <si>
    <t>Pontifical Catholic University of Chile</t>
  </si>
  <si>
    <t>Chañaral Reserva</t>
  </si>
  <si>
    <t>Cobquecura</t>
  </si>
  <si>
    <t>TURF NKH</t>
  </si>
  <si>
    <t>No kelp harvesting</t>
  </si>
  <si>
    <t>Yeso</t>
  </si>
  <si>
    <t>TURF KH</t>
  </si>
  <si>
    <t>Kelp harvesting</t>
  </si>
  <si>
    <t>Carrizal Bajo</t>
  </si>
  <si>
    <t>Chanaral de Aceitun</t>
  </si>
  <si>
    <t>Los Vilos</t>
  </si>
  <si>
    <t>Ventana</t>
  </si>
  <si>
    <t>600 ha</t>
  </si>
  <si>
    <t>73° 13' W</t>
  </si>
  <si>
    <t>33° 30’ S</t>
  </si>
  <si>
    <t>337.61 ha</t>
  </si>
  <si>
    <t>Antofagasta Bay</t>
  </si>
  <si>
    <t xml:space="preserve">23°28′28″S </t>
  </si>
  <si>
    <t>70°30′35″W</t>
  </si>
  <si>
    <t>23°28'S</t>
  </si>
  <si>
    <t>70°30'W</t>
  </si>
  <si>
    <t>271 ha</t>
  </si>
  <si>
    <t>337.6ha</t>
  </si>
  <si>
    <t>23°28′28″S</t>
  </si>
  <si>
    <t>Chile</t>
  </si>
  <si>
    <t>Coves have at least one TURF assigned to a fisher's organisation</t>
  </si>
  <si>
    <t>Fisher's organisation</t>
  </si>
  <si>
    <t>Francisco Coloane Marine Park</t>
  </si>
  <si>
    <t>Marine park</t>
  </si>
  <si>
    <t>67,197 ha</t>
  </si>
  <si>
    <t>Straits of Magellan</t>
  </si>
  <si>
    <t>Islas Choros-Damas Marine Reserve</t>
  </si>
  <si>
    <t>3834 ha</t>
  </si>
  <si>
    <t>Apolillado Management Area</t>
  </si>
  <si>
    <t>237 ha</t>
  </si>
  <si>
    <t>Los Choros Fishermen's association, Undersecretary of Fisheries</t>
  </si>
  <si>
    <t>Punta de Choros Management Area</t>
  </si>
  <si>
    <t>907 ha</t>
  </si>
  <si>
    <t>Punta de Choros Fishermen's association, Undersecretary of Fisheries</t>
  </si>
  <si>
    <t>Isla Choros Management Area</t>
  </si>
  <si>
    <t>297 ha</t>
  </si>
  <si>
    <t>Gaviota Island National Protected Asset</t>
  </si>
  <si>
    <t>National Protected Asset</t>
  </si>
  <si>
    <t>193 ha</t>
  </si>
  <si>
    <t>Gaviota Island</t>
  </si>
  <si>
    <t>Ministry of National Assets</t>
  </si>
  <si>
    <t>Between 28°S and 33°S</t>
  </si>
  <si>
    <t>Fishermen's associations</t>
  </si>
  <si>
    <t>31°55′S</t>
  </si>
  <si>
    <t>71°00′W</t>
  </si>
  <si>
    <t>Cooperativa</t>
  </si>
  <si>
    <t>La Boca</t>
  </si>
  <si>
    <t>33°55′S</t>
  </si>
  <si>
    <t>71°50′W</t>
  </si>
  <si>
    <t>Matanzas</t>
  </si>
  <si>
    <t>33°57′S</t>
  </si>
  <si>
    <t>71°52′W</t>
  </si>
  <si>
    <t>Puertecillo</t>
  </si>
  <si>
    <t>Carelmapu</t>
  </si>
  <si>
    <t>41°51′S</t>
  </si>
  <si>
    <t>73°35′W</t>
  </si>
  <si>
    <t>Choros and Damas Islands</t>
  </si>
  <si>
    <t>29° 13′ 29″ S</t>
  </si>
  <si>
    <t>71° 31′ 38″ W</t>
  </si>
  <si>
    <t>Motu Motiro Hiva Marine Park (MMHMP)</t>
  </si>
  <si>
    <t>Rapanui people, Chilean Government</t>
  </si>
  <si>
    <t>Tongoy</t>
  </si>
  <si>
    <t>Tongoy Bay</t>
  </si>
  <si>
    <t>30°15′ S</t>
  </si>
  <si>
    <t>70°30′ W</t>
  </si>
  <si>
    <t>Tongoy Fishers Organisation</t>
  </si>
  <si>
    <t xml:space="preserve">Peñuelas A </t>
  </si>
  <si>
    <t>Coquimbo Bay</t>
  </si>
  <si>
    <t>3 fisher's organisations</t>
  </si>
  <si>
    <t>Dalcahue</t>
  </si>
  <si>
    <t>Mañihueico - Huinay ECMPO</t>
  </si>
  <si>
    <t>ECMPO (Indigenous Peoples Marine Spaces)</t>
  </si>
  <si>
    <t xml:space="preserve">Mañihueico - Huinay </t>
  </si>
  <si>
    <t>Huilliche-Mapuche indigenous community</t>
  </si>
  <si>
    <t>Lafkenmapu Lahuel MPA</t>
  </si>
  <si>
    <t>Caleta Condor</t>
  </si>
  <si>
    <t>Maullin</t>
  </si>
  <si>
    <t>Almirantazgo Sound</t>
  </si>
  <si>
    <t>Multiple-use MPA</t>
  </si>
  <si>
    <t xml:space="preserve">76,400 ha </t>
  </si>
  <si>
    <t>Timaukel Commune, Province of Tierra del Fuego</t>
  </si>
  <si>
    <t>Artisanal extraction of benthic resources is permitted</t>
  </si>
  <si>
    <t>Tourism permitted</t>
  </si>
  <si>
    <t>Ministry of Environment</t>
  </si>
  <si>
    <t>San Vicente</t>
  </si>
  <si>
    <t>Biobío Region</t>
  </si>
  <si>
    <t>Artisanal fisher organizations</t>
  </si>
  <si>
    <t>Candelaria-Cantera</t>
  </si>
  <si>
    <t>Rari</t>
  </si>
  <si>
    <t>Dichato</t>
  </si>
  <si>
    <t>Punta Raimenco</t>
  </si>
  <si>
    <t>Bajo Rumena</t>
  </si>
  <si>
    <t>Rumena</t>
  </si>
  <si>
    <t>Los Piures</t>
  </si>
  <si>
    <t>Cobquecura sector</t>
  </si>
  <si>
    <t>Puerto Yana</t>
  </si>
  <si>
    <t>Maule</t>
  </si>
  <si>
    <t>Punta Lavapie</t>
  </si>
  <si>
    <t>Pueblo Hundido</t>
  </si>
  <si>
    <t>Laraquete</t>
  </si>
  <si>
    <t>Los Partidos</t>
  </si>
  <si>
    <t>Island</t>
  </si>
  <si>
    <t>Puerto Sur</t>
  </si>
  <si>
    <t>Pueblo Norte sector B</t>
  </si>
  <si>
    <t>Punta Cadena</t>
  </si>
  <si>
    <t>Weste Isla Mocha</t>
  </si>
  <si>
    <t>Quechol</t>
  </si>
  <si>
    <t>Quechol Sur</t>
  </si>
  <si>
    <t xml:space="preserve">Peñuelas </t>
  </si>
  <si>
    <t>288 ha</t>
  </si>
  <si>
    <t>Region IV</t>
  </si>
  <si>
    <t>Chigualoco</t>
  </si>
  <si>
    <t xml:space="preserve">600 ha </t>
  </si>
  <si>
    <t xml:space="preserve">Caleta Guayacán </t>
  </si>
  <si>
    <t xml:space="preserve">Coquimbo </t>
  </si>
  <si>
    <t>29°58’S</t>
  </si>
  <si>
    <t>71°22’W</t>
  </si>
  <si>
    <t>Fishers, SERNAPESCA</t>
  </si>
  <si>
    <t>Caleta Huentelauquén</t>
  </si>
  <si>
    <t>Huentelauquén</t>
  </si>
  <si>
    <t>31°55’S</t>
  </si>
  <si>
    <t>71°25’W</t>
  </si>
  <si>
    <t>Harvests limited to a few days per year</t>
  </si>
  <si>
    <t>North-central coast</t>
  </si>
  <si>
    <t>El Cisne</t>
  </si>
  <si>
    <t>Atacama region</t>
  </si>
  <si>
    <t>Los Bronces</t>
  </si>
  <si>
    <t>Chañaral de Aceituno</t>
  </si>
  <si>
    <t>Coquimbo region</t>
  </si>
  <si>
    <t>Totoralillo Norte</t>
  </si>
  <si>
    <t>Caleta Hornos</t>
  </si>
  <si>
    <t>Totoralillo Centro</t>
  </si>
  <si>
    <t>Sierra</t>
  </si>
  <si>
    <t>Sierra II</t>
  </si>
  <si>
    <t>Mantos de Hornillo</t>
  </si>
  <si>
    <t>Puerto Manso</t>
  </si>
  <si>
    <t>Islas Blancas</t>
  </si>
  <si>
    <t>Coop. Las Conchas</t>
  </si>
  <si>
    <t>A. G. Caleta Las Conchas</t>
  </si>
  <si>
    <t>Caleta San Pedro Union</t>
  </si>
  <si>
    <t xml:space="preserve">Lord Willow Women Union </t>
  </si>
  <si>
    <t>Lobos</t>
  </si>
  <si>
    <t>Chañaral Island</t>
  </si>
  <si>
    <t>29°2'S</t>
  </si>
  <si>
    <t>71°34'W</t>
  </si>
  <si>
    <t>Punta Lengua de Vaca</t>
  </si>
  <si>
    <t>Punta de Talca</t>
  </si>
  <si>
    <t xml:space="preserve">31° S </t>
  </si>
  <si>
    <t>Punta Curaumilla</t>
  </si>
  <si>
    <t>33° S</t>
  </si>
  <si>
    <t xml:space="preserve">Guanaqueros </t>
  </si>
  <si>
    <t xml:space="preserve">Totoralillo </t>
  </si>
  <si>
    <t>30° S</t>
  </si>
  <si>
    <t>El Quisco-Algarrobo</t>
  </si>
  <si>
    <t>Bahía Mansa A</t>
  </si>
  <si>
    <t>Bahía Mansa</t>
  </si>
  <si>
    <t>40° 34′S</t>
  </si>
  <si>
    <t>73° 44′W</t>
  </si>
  <si>
    <t>Bahía Mansa B</t>
  </si>
  <si>
    <t>Maicolpué</t>
  </si>
  <si>
    <t>40° 35′S</t>
  </si>
  <si>
    <t>Central Chile (x 80 TURFs)</t>
  </si>
  <si>
    <t xml:space="preserve">Between Pichidangui and Pichilemu </t>
  </si>
  <si>
    <t>Between 32°08′00″S and 34° 23′ 0″ S</t>
  </si>
  <si>
    <t>Between 72° 0′ 0″ W and 71°32′00″W</t>
  </si>
  <si>
    <t>Fisher associations</t>
  </si>
  <si>
    <t>La Rinconada</t>
  </si>
  <si>
    <t>23° 28′28 ″S</t>
  </si>
  <si>
    <t>70° 30′35″W</t>
  </si>
  <si>
    <t>Los Lagos region</t>
  </si>
  <si>
    <t>Fishers' association</t>
  </si>
  <si>
    <t>Tarapacá region</t>
  </si>
  <si>
    <t>Fishers' organisation</t>
  </si>
  <si>
    <t>Zapallar</t>
  </si>
  <si>
    <t>Ventanas</t>
  </si>
  <si>
    <t>Montemar</t>
  </si>
  <si>
    <t>San Antonio</t>
  </si>
  <si>
    <t>Antofagasta (X2)</t>
  </si>
  <si>
    <t>Between 25,5◦ S and 41,2◦S</t>
  </si>
  <si>
    <t>Between 70,4◦W and 74,1◦W</t>
  </si>
  <si>
    <t>Atacama (X10)</t>
  </si>
  <si>
    <t>Coquimbo (X28)</t>
  </si>
  <si>
    <t>Valparaíso (X7)</t>
  </si>
  <si>
    <t>Bio Bío (X6)</t>
  </si>
  <si>
    <t>Los Ríos (X15)</t>
  </si>
  <si>
    <t>Los Lagos (X32)</t>
  </si>
  <si>
    <t>Arica-Parinacota (X1)</t>
  </si>
  <si>
    <t>Between 18° S and 33° S</t>
  </si>
  <si>
    <t>Tarapacá (X8)</t>
  </si>
  <si>
    <t>Antofagasta (X8)</t>
  </si>
  <si>
    <t>Atacama (X19)</t>
  </si>
  <si>
    <t>Coquimbo (45)</t>
  </si>
  <si>
    <t>Valparaíso (21)</t>
  </si>
  <si>
    <t>&gt;6</t>
  </si>
  <si>
    <t>Artisanal fisher organizations, Undersecretary of fisheries</t>
  </si>
  <si>
    <t>National</t>
  </si>
  <si>
    <t>Natural sanctuary</t>
  </si>
  <si>
    <t>Coastal areas for Indigenous groups</t>
  </si>
  <si>
    <t>Magellan Strait</t>
  </si>
  <si>
    <t>Fjord</t>
  </si>
  <si>
    <t>NA</t>
  </si>
  <si>
    <t>Atacama (X33)</t>
  </si>
  <si>
    <t>Coquimbo (X76)</t>
  </si>
  <si>
    <t>Atacama (X22)</t>
  </si>
  <si>
    <t>Atacama</t>
  </si>
  <si>
    <t>Fishers' organisations</t>
  </si>
  <si>
    <t>Coquimbo (X61)</t>
  </si>
  <si>
    <t>Coquimbo</t>
  </si>
  <si>
    <t>Chile (224)</t>
  </si>
  <si>
    <t>Between 18 and 41°S</t>
  </si>
  <si>
    <t>338 ha</t>
  </si>
  <si>
    <t>Contains no-take sectors</t>
  </si>
  <si>
    <t>23°28’28”S</t>
  </si>
  <si>
    <t>70°30’35”W</t>
  </si>
  <si>
    <t>23◦ 28_x0004_ S</t>
  </si>
  <si>
    <t>70°30’W</t>
  </si>
  <si>
    <t>Between 18 and 55°S</t>
  </si>
  <si>
    <t>Protected National Properties</t>
  </si>
  <si>
    <t>Los Lagos (X45)</t>
  </si>
  <si>
    <t>Los Lagos Region</t>
  </si>
  <si>
    <t>Artisanal organisations</t>
  </si>
  <si>
    <t>National (X219)</t>
  </si>
  <si>
    <t>National (X232)</t>
  </si>
  <si>
    <t>Marine protected area</t>
  </si>
  <si>
    <t>Between 29°02′S and 48°23′S</t>
  </si>
  <si>
    <t xml:space="preserve">Choros Island </t>
  </si>
  <si>
    <t>Choros Island</t>
  </si>
  <si>
    <t>Located in Isla Choros-Damas marine reserve</t>
  </si>
  <si>
    <t>Fishermen's union</t>
  </si>
  <si>
    <t>Marine and Coastal Areas for Indigenous Peoples</t>
  </si>
  <si>
    <t xml:space="preserve">33°31′S </t>
  </si>
  <si>
    <t>071°38′W</t>
  </si>
  <si>
    <t>Mid-intertidal</t>
  </si>
  <si>
    <t>Rapa Nui Rahui MPA</t>
  </si>
  <si>
    <t>63136800 ha</t>
  </si>
  <si>
    <t>Rapa Nui</t>
  </si>
  <si>
    <t>Coliumo</t>
  </si>
  <si>
    <t>Biobío region</t>
  </si>
  <si>
    <t>Artisanal fishing organizations</t>
  </si>
  <si>
    <t>Cerro Verde Bajo</t>
  </si>
  <si>
    <t>Lirquén</t>
  </si>
  <si>
    <t>Chome</t>
  </si>
  <si>
    <t>Lota</t>
  </si>
  <si>
    <t>Llico</t>
  </si>
  <si>
    <t>Arauco</t>
  </si>
  <si>
    <t>Perone</t>
  </si>
  <si>
    <t>0.4152 ha</t>
  </si>
  <si>
    <t xml:space="preserve">33°30′S </t>
  </si>
  <si>
    <t>Rocky shore</t>
  </si>
  <si>
    <t>Fisher unions</t>
  </si>
  <si>
    <t>32◦24S</t>
  </si>
  <si>
    <t>71◦51W</t>
  </si>
  <si>
    <t>Fisher organisations</t>
  </si>
  <si>
    <t>Between 32 and 34 S</t>
  </si>
  <si>
    <t>Between 71 and 71'8 W</t>
  </si>
  <si>
    <t>Maintencello</t>
  </si>
  <si>
    <t>Navidad</t>
  </si>
  <si>
    <t xml:space="preserve">33◦94_x0003_S </t>
  </si>
  <si>
    <t>71◦85_x0003_W</t>
  </si>
  <si>
    <t>Ancud</t>
  </si>
  <si>
    <t>Fishing unions</t>
  </si>
  <si>
    <t>Northern Chile</t>
  </si>
  <si>
    <t>Between 28° 54′ S and 29° 45′ S</t>
  </si>
  <si>
    <t>Priority Sites for Terrestrial Conservation</t>
  </si>
  <si>
    <t>Protected National Asset</t>
  </si>
  <si>
    <t>Francisco Coloane MPA</t>
  </si>
  <si>
    <t>53° 38' S</t>
  </si>
  <si>
    <t>72° 14' W</t>
  </si>
  <si>
    <t xml:space="preserve">270 ha </t>
  </si>
  <si>
    <t>23°28′S</t>
  </si>
  <si>
    <t>70°30′W</t>
  </si>
  <si>
    <t>Bay</t>
  </si>
  <si>
    <t>91.66 ha</t>
  </si>
  <si>
    <t>Biobio region</t>
  </si>
  <si>
    <t>69.91 ha</t>
  </si>
  <si>
    <t>191.58 ha</t>
  </si>
  <si>
    <t>Coast</t>
  </si>
  <si>
    <t>48.83 ha</t>
  </si>
  <si>
    <t>11.5 ha</t>
  </si>
  <si>
    <t>74.48 ha</t>
  </si>
  <si>
    <t>271.64 ha</t>
  </si>
  <si>
    <t>Cobquecura sector A</t>
  </si>
  <si>
    <t>452.5 ha</t>
  </si>
  <si>
    <t>112.5 ha</t>
  </si>
  <si>
    <t>Maula</t>
  </si>
  <si>
    <t>59.9 ha</t>
  </si>
  <si>
    <t>Gulf</t>
  </si>
  <si>
    <t>68.48 ha</t>
  </si>
  <si>
    <t>48.88 ha</t>
  </si>
  <si>
    <t>416 ha</t>
  </si>
  <si>
    <t>522.79 ha</t>
  </si>
  <si>
    <t>239.61 ha</t>
  </si>
  <si>
    <t>947.2 ha</t>
  </si>
  <si>
    <t>3870.81 ha</t>
  </si>
  <si>
    <t>277.94 ha</t>
  </si>
  <si>
    <t>2376.77 ha</t>
  </si>
  <si>
    <t>National (X55)</t>
  </si>
  <si>
    <t>146 ha (mean)</t>
  </si>
  <si>
    <t>Between 19°35´40.25˝S and 43°8´13.41˝S</t>
  </si>
  <si>
    <t>Between 70°12´44.80˝W and  73°39´50.21˝W</t>
  </si>
  <si>
    <t>350 ha</t>
  </si>
  <si>
    <t>23◦29’S</t>
  </si>
  <si>
    <t>70◦30’W</t>
  </si>
  <si>
    <t>Chepu</t>
  </si>
  <si>
    <t>Puñihuil</t>
  </si>
  <si>
    <t>Mar Brava</t>
  </si>
  <si>
    <t>Guabun</t>
  </si>
  <si>
    <t>Yuste</t>
  </si>
  <si>
    <t>Queniur</t>
  </si>
  <si>
    <t>Estaquilla</t>
  </si>
  <si>
    <t>Los Lobos</t>
  </si>
  <si>
    <t xml:space="preserve">Puertecillo </t>
  </si>
  <si>
    <t>34°17′S</t>
  </si>
  <si>
    <t>71°58′W</t>
  </si>
  <si>
    <t>El Muelle-Ancud</t>
  </si>
  <si>
    <t>73°49′W</t>
  </si>
  <si>
    <t xml:space="preserve">Quicavi </t>
  </si>
  <si>
    <t>42° 18′S</t>
  </si>
  <si>
    <t>73° 35′W</t>
  </si>
  <si>
    <t>Marine Reserve of Chañaral and Choros-Damas Islands (MRC-CD)</t>
  </si>
  <si>
    <t>Chañaral Island, Damas Island and Choros Island</t>
  </si>
  <si>
    <t>Between 29.03°S and 29.26°S</t>
  </si>
  <si>
    <t>Between 71.57°W and 71.52.°W</t>
  </si>
  <si>
    <t>31.57°S to 36.00°S</t>
  </si>
  <si>
    <t>75 TURFs, 1 Natural Monument, 4 Natural Sanctuaries</t>
  </si>
  <si>
    <t>SUBPESCA and Ministry of Environment</t>
  </si>
  <si>
    <t>Biobío region (X10)</t>
  </si>
  <si>
    <t>Seno Almirantazgo MPA</t>
  </si>
  <si>
    <t xml:space="preserve">Islote Albatros, Tierra del Fuego </t>
  </si>
  <si>
    <t xml:space="preserve">54°27ʹ20ʹS </t>
  </si>
  <si>
    <t>69°01ʹ12ʹʹW</t>
  </si>
  <si>
    <t>Between 35°70'S and 38°30'S</t>
  </si>
  <si>
    <t>National (X630)</t>
  </si>
  <si>
    <t>Guayacán</t>
  </si>
  <si>
    <t xml:space="preserve">Huentelauquén </t>
  </si>
  <si>
    <t>Francisco Coloane Coastal-Marine Protected Area</t>
  </si>
  <si>
    <t>Between  52°17′S and 54°15′S</t>
  </si>
  <si>
    <t>Includes Marine National Park</t>
  </si>
  <si>
    <t>Pitipalena-Añihue MCPA</t>
  </si>
  <si>
    <t>23900 ha</t>
  </si>
  <si>
    <t>Chiloense ecoregion</t>
  </si>
  <si>
    <t>43° 38’ - 44° 03′S</t>
  </si>
  <si>
    <t>72° 47’ - 73° 03′W</t>
  </si>
  <si>
    <t>Aquaculture and artisanal fishing grants</t>
  </si>
  <si>
    <t>Salas y Gómez Island</t>
  </si>
  <si>
    <t xml:space="preserve">26° 27'S </t>
  </si>
  <si>
    <t>105° 28'W</t>
  </si>
  <si>
    <t>33°11′ S</t>
  </si>
  <si>
    <t>71°41′ W</t>
  </si>
  <si>
    <t>Isla Grande Atacama</t>
  </si>
  <si>
    <t>Moderate naval traffic</t>
  </si>
  <si>
    <t xml:space="preserve">Rapa Nui </t>
  </si>
  <si>
    <t>Motu Nui</t>
  </si>
  <si>
    <t xml:space="preserve">27°20'S </t>
  </si>
  <si>
    <t>109°45W</t>
  </si>
  <si>
    <t xml:space="preserve">Chico Islet </t>
  </si>
  <si>
    <t>Natural Monument</t>
  </si>
  <si>
    <t>Puñihuil Islets</t>
  </si>
  <si>
    <t>41°55′ S</t>
  </si>
  <si>
    <t>74°02′ W</t>
  </si>
  <si>
    <t>Regulations similar to MPA</t>
  </si>
  <si>
    <t>No access permitted to Islets</t>
  </si>
  <si>
    <t>Grande Islet</t>
  </si>
  <si>
    <t xml:space="preserve">23°28′ S </t>
  </si>
  <si>
    <t>Punta Choros</t>
  </si>
  <si>
    <t>371 ha</t>
  </si>
  <si>
    <t>TURF-aquaculture system</t>
  </si>
  <si>
    <t>107.29 ha</t>
  </si>
  <si>
    <t>295 ha</t>
  </si>
  <si>
    <t>Peñuelas</t>
  </si>
  <si>
    <t>256.02 ha</t>
  </si>
  <si>
    <t>5.6 ha</t>
  </si>
  <si>
    <t>68.29 ha</t>
  </si>
  <si>
    <t>Cascabeles</t>
  </si>
  <si>
    <t>48.75 ha</t>
  </si>
  <si>
    <t>San Pedro los Vilos</t>
  </si>
  <si>
    <t>353.35 ha</t>
  </si>
  <si>
    <t>33° 31’ S</t>
  </si>
  <si>
    <t>71° 38’ W</t>
  </si>
  <si>
    <t>No take</t>
  </si>
  <si>
    <t>Closed to the public</t>
  </si>
  <si>
    <t>Las Cruces Catholic University</t>
  </si>
  <si>
    <t>Semi-protected area</t>
  </si>
  <si>
    <t>Open to divers, restricted by a private owner's fence</t>
  </si>
  <si>
    <t>Private owner</t>
  </si>
  <si>
    <t>33° 23’ S</t>
  </si>
  <si>
    <t>71° 42’ W</t>
  </si>
  <si>
    <t>Syndicate Union La Boca</t>
  </si>
  <si>
    <t>Region VI</t>
  </si>
  <si>
    <t>Syndicates</t>
  </si>
  <si>
    <t xml:space="preserve">Vega La Boca </t>
  </si>
  <si>
    <t xml:space="preserve">Union Matanzas </t>
  </si>
  <si>
    <t>Region X</t>
  </si>
  <si>
    <t xml:space="preserve">Carelmapu </t>
  </si>
  <si>
    <t>Syndicate Cooperativa</t>
  </si>
  <si>
    <t>Syndicate El Quisco</t>
  </si>
  <si>
    <t>Region V</t>
  </si>
  <si>
    <t>El Quisco Sur</t>
  </si>
  <si>
    <t>160 ha</t>
  </si>
  <si>
    <t>32°6'S-33°50' S</t>
  </si>
  <si>
    <t>24 hour surveillance</t>
  </si>
  <si>
    <t>El Quisco Norte</t>
  </si>
  <si>
    <t>60 ha</t>
  </si>
  <si>
    <t>25 hour surveillance</t>
  </si>
  <si>
    <t>Algarrobo Sur</t>
  </si>
  <si>
    <t>80 ha</t>
  </si>
  <si>
    <t>26 hour surveillance</t>
  </si>
  <si>
    <t>Diego Ramírez</t>
  </si>
  <si>
    <t>56º31′17’’S</t>
  </si>
  <si>
    <t>68º42′53’’W</t>
  </si>
  <si>
    <t>31◦ 55' S</t>
  </si>
  <si>
    <t>71◦ 00'W</t>
  </si>
  <si>
    <t>Fishers' Unions</t>
  </si>
  <si>
    <t>31◦ 45' S</t>
  </si>
  <si>
    <t>71◦ 30'W</t>
  </si>
  <si>
    <t>33◦ 24' S</t>
  </si>
  <si>
    <t>71◦ 41'W</t>
  </si>
  <si>
    <t>33◦ 55' S</t>
  </si>
  <si>
    <t>71◦ 50'W</t>
  </si>
  <si>
    <t>33◦ 57' S</t>
  </si>
  <si>
    <t>71◦ 52'W</t>
  </si>
  <si>
    <t>34◦ 17' S</t>
  </si>
  <si>
    <t>71◦ 58'W</t>
  </si>
  <si>
    <t>41◦ 44' S</t>
  </si>
  <si>
    <t>73◦ 43'W</t>
  </si>
  <si>
    <t>41◦ 51' S</t>
  </si>
  <si>
    <t>73◦ 49'W</t>
  </si>
  <si>
    <t>Quicavi</t>
  </si>
  <si>
    <t>42◦ 18' S</t>
  </si>
  <si>
    <t>73◦ 35'W</t>
  </si>
  <si>
    <t>Cape Horn Biosphere Reserve</t>
  </si>
  <si>
    <t>Cape Horn, Magellan Region</t>
  </si>
  <si>
    <t xml:space="preserve">Minimum catch size, closed season (7 months King crab, 2 months Snow crab), only Artisanal fishing permitted </t>
  </si>
  <si>
    <t>Seno Almirantazgo</t>
  </si>
  <si>
    <t>115000 ha</t>
  </si>
  <si>
    <t>Isla Grande de Tierra del Fuego</t>
  </si>
  <si>
    <t>54◦21′ S</t>
  </si>
  <si>
    <t>69◦21′ W</t>
  </si>
  <si>
    <t>Sustainable anthropogenic activities allowed</t>
  </si>
  <si>
    <t>33° 30' S</t>
  </si>
  <si>
    <t>33° 23' S</t>
  </si>
  <si>
    <t>Maiquillahue Bay</t>
  </si>
  <si>
    <t>39° 25''28" S</t>
  </si>
  <si>
    <t>73°13'5" W</t>
  </si>
  <si>
    <t>AG San Pedro</t>
  </si>
  <si>
    <t>31° 55' S</t>
  </si>
  <si>
    <t>71° 00' S</t>
  </si>
  <si>
    <t>Fishing syndicate</t>
  </si>
  <si>
    <t>Cooperativa Los Vilos</t>
  </si>
  <si>
    <t>Lafken Mapu Lahual</t>
  </si>
  <si>
    <t>4463 ha</t>
  </si>
  <si>
    <t>40°37′S-40°48′S</t>
  </si>
  <si>
    <t>Contains no-take, sustainable use, and buffer zones</t>
  </si>
  <si>
    <t>Unspecified / not named (X42)</t>
  </si>
  <si>
    <t>Region IV to Region III</t>
  </si>
  <si>
    <t>Industrial fishing restricted, no restrictions on nearshore activities</t>
  </si>
  <si>
    <t>Navidad MPA</t>
  </si>
  <si>
    <t>20 ha</t>
  </si>
  <si>
    <t>Local municipality, artisanal fishers, Pontificia Universidad Católica de Chile</t>
  </si>
  <si>
    <t>Punta de Lobos MPA</t>
  </si>
  <si>
    <t>50 ha</t>
  </si>
  <si>
    <t>Punta de Lobos</t>
  </si>
  <si>
    <t>Neighbourhood association</t>
  </si>
  <si>
    <t>National (X20)</t>
  </si>
  <si>
    <t>Included MPAs, parks, reserves, and National Sanctuaries</t>
  </si>
  <si>
    <t>33° 11′ S</t>
  </si>
  <si>
    <t>71° 41′ W</t>
  </si>
  <si>
    <t>Fishers' union</t>
  </si>
  <si>
    <t>33° 22′ S</t>
  </si>
  <si>
    <t>71° 40′ W</t>
  </si>
  <si>
    <t>Bio-Bio (X21)</t>
  </si>
  <si>
    <t>Bio-Bio</t>
  </si>
  <si>
    <t xml:space="preserve">36°46′S </t>
  </si>
  <si>
    <t>73°03′W</t>
  </si>
  <si>
    <t>Valparaíso (X16)</t>
  </si>
  <si>
    <t xml:space="preserve">Valparaíso </t>
  </si>
  <si>
    <t>33°03′S</t>
  </si>
  <si>
    <t>Magdalena Island National Park</t>
  </si>
  <si>
    <t>National park</t>
  </si>
  <si>
    <t xml:space="preserve"> Cisnes Commune, Aysén Region</t>
  </si>
  <si>
    <t>Between 44°20’S and 45°29’S</t>
  </si>
  <si>
    <t>Between 73°20’W and 72°50’W</t>
  </si>
  <si>
    <t>Restrictions on human activities</t>
  </si>
  <si>
    <t>Kawésqar National Reserve</t>
  </si>
  <si>
    <t>Cisnes and Aysén Communes, Aysén Region</t>
  </si>
  <si>
    <t>Between 44°10’S and 46°30’S</t>
  </si>
  <si>
    <t>Between 75°30’W and 73°10’W</t>
  </si>
  <si>
    <t>Allows sustainable use of resources</t>
  </si>
  <si>
    <t xml:space="preserve"> Las Guaitecas National Reserve</t>
  </si>
  <si>
    <t>Natales and Rio Verde Communes</t>
  </si>
  <si>
    <t>Between 50°10’S and 54°30’S</t>
  </si>
  <si>
    <t>Between 76°10’W and 71°10’W</t>
  </si>
  <si>
    <t>MPAs</t>
  </si>
  <si>
    <t>Between 18° S and 43°S</t>
  </si>
  <si>
    <t>Bahía Mansa north</t>
  </si>
  <si>
    <t>40°34′S</t>
  </si>
  <si>
    <t>73°44′W</t>
  </si>
  <si>
    <t>Bahía Mansa south</t>
  </si>
  <si>
    <t>40°35′S</t>
  </si>
  <si>
    <t>40°36′S</t>
  </si>
  <si>
    <t>73°45′W</t>
  </si>
  <si>
    <t>Bibliography</t>
  </si>
  <si>
    <t xml:space="preserve">Author / Year </t>
  </si>
  <si>
    <t>Title</t>
  </si>
  <si>
    <t>Authors</t>
  </si>
  <si>
    <t>Journal</t>
  </si>
  <si>
    <t>Volume</t>
  </si>
  <si>
    <t>Issue</t>
  </si>
  <si>
    <t>Page</t>
  </si>
  <si>
    <t>DOI</t>
  </si>
  <si>
    <t>Year</t>
  </si>
  <si>
    <t>Recovery of Durvillaea antarctica (Durvilleales) inside and outside Las Cruces marine reserve, Chile</t>
  </si>
  <si>
    <t>Castilla, J. C.; Campo, M. A.; Bustamante, R. H.</t>
  </si>
  <si>
    <t>ECOLOGICAL APPLICATIONS</t>
  </si>
  <si>
    <t>10.1890/06-1285.1</t>
  </si>
  <si>
    <t>Territorial User Rights for Fisheries as Ancillary Instruments for Marine Coastal Conservation in Chile</t>
  </si>
  <si>
    <t>Gelcich, Stefan; Fernandez, Miriam; Godoy, Natalio; Canepa, Antonio; Prado, Luis; Carlos Castilla, Juan</t>
  </si>
  <si>
    <t>CONSERVATION BIOLOGY</t>
  </si>
  <si>
    <t>1005-1015</t>
  </si>
  <si>
    <t>10.1111/j.1523-1739.2012.01928.x</t>
  </si>
  <si>
    <t>Monitoring the sustainability of Lessonia nigrescens (Laminariales, Phaeophyceae) in northern Chile under strong harvest pressure</t>
  </si>
  <si>
    <t>Alonso Vega, J. M.; Broitman, Bernardo R.; Vasquez, Julio A.</t>
  </si>
  <si>
    <t>JOURNAL OF APPLIED PHYCOLOGY</t>
  </si>
  <si>
    <t>791-801</t>
  </si>
  <si>
    <t> 10.1007/s10811-013-0167-4</t>
  </si>
  <si>
    <t>Reproductive output of two benthic resources (Fissurella latimarginata and Loxechinus albus) under different management regimes along the coast of central Chile</t>
  </si>
  <si>
    <t>Fernandez, Miriam; Blanco, Marta; Ruano-Chamorro, Cristina; Dulce Subida, Maria</t>
  </si>
  <si>
    <t xml:space="preserve">LATIN AMERICAN JOURNAL OF AQUATIC RESEARCH </t>
  </si>
  <si>
    <t>391-402</t>
  </si>
  <si>
    <t>10.3856/vol45-issue2-fulltext-14</t>
  </si>
  <si>
    <t>Exploitation rates of two benthic resources across management regimes in central Chile: Evidence of illegal fishing in artisanal fisheries operating in open access areas</t>
  </si>
  <si>
    <t>Andreu-Cazenave, Miguel; Subida, Maria Dulce; Fernandez, Miriam</t>
  </si>
  <si>
    <t>PLOS ONE </t>
  </si>
  <si>
    <t>10.1371/journal.pone.0180012</t>
  </si>
  <si>
    <t>Exploring the role of access regimes over an economically important intertidal kelp species</t>
  </si>
  <si>
    <t>Gonzalez-Roca, Fernando; Gelcich, Stefan; Perez-Ruzafa, Angel; Alonso Vega, J. M.; Vasquez, Julio A.</t>
  </si>
  <si>
    <t>OCEAN &amp; COASTAL MANAGEMENT</t>
  </si>
  <si>
    <t>10.1016/j.ocecoaman.2021.105811</t>
  </si>
  <si>
    <t>Does the harvest of the natural populations of the floating seaweed Durvillaea incurvata (Surh) Macaya affect its dispersal potential?</t>
  </si>
  <si>
    <t>Lopez, Boris A.; Ramirez, Ruben O.; Guzman, Elizabeth A.</t>
  </si>
  <si>
    <t>ALGAL RESEARCH-BIOMASS BIOFUELS AND BIOPRODUCTS</t>
  </si>
  <si>
    <t>10.1016/j.algal.2024.103516</t>
  </si>
  <si>
    <t>Escape behavior of rocky-reef fish reveals the impact of spearfishing across different management regimes</t>
  </si>
  <si>
    <t>Contreras-Drey, Francisco J.; Godoy, Natalio; Smith, Andres; Rezende, Enrico L.; Perez-Matus, Alejandro; Estevez, Rodrigo A.; Beldade, Ricardo; Ojeda, F. Patricio; Gelcich, Stefan</t>
  </si>
  <si>
    <t>ECOSPHERE</t>
  </si>
  <si>
    <t xml:space="preserve"> 10.1002/ecs2.70056</t>
  </si>
  <si>
    <t>Removal of intertidal grazers by human harvesting leads to alteration of species interactions, community structure and resilience to climate change</t>
  </si>
  <si>
    <t>Chaverra, Ana; Wieters, Evie; Foggo, Andy; Knights, Antony M.</t>
  </si>
  <si>
    <t>MARINE ENVIRONMENTAL RESEARCH</t>
  </si>
  <si>
    <t>57-65</t>
  </si>
  <si>
    <t>10.1016/j.marenvres.2019.03.003</t>
  </si>
  <si>
    <t>Evidence of plasticity in the reproduction of a trematode parasite: The effect of host removal</t>
  </si>
  <si>
    <t>Loot, G.; Blanchet, S.; Aldana, M.; Navarrete, Sergio A.</t>
  </si>
  <si>
    <t>JOURNAL OF PARASITOLOGY</t>
  </si>
  <si>
    <t>23-27</t>
  </si>
  <si>
    <t xml:space="preserve">
10.1645/GE-1278.1</t>
  </si>
  <si>
    <t>Effects of human exclusion on parasitism in intertidal food webs of central Chile</t>
  </si>
  <si>
    <t>Loot, G; Aldana, M; Navarrete, SA</t>
  </si>
  <si>
    <t>203-212</t>
  </si>
  <si>
    <t xml:space="preserve">
10.1111/j.1523-1739.2005.00396.x</t>
  </si>
  <si>
    <t>Effects of isolation and fishing on the marine ecosystems of Easter Island and Salas y Gomez, Chile</t>
  </si>
  <si>
    <t>Friedlander, Alan M.; Ballesteros, Enric; Beets, Jim; Berkenpas, Eric; Gaymer, Carlos F.; Gorny, Matthias; Sala, Enric</t>
  </si>
  <si>
    <t>AQUATIC CONSERVATION-MARINE AND FRESHWATER ECOSYSTEMS</t>
  </si>
  <si>
    <t>515-531</t>
  </si>
  <si>
    <t>10.1002/aqc.2333</t>
  </si>
  <si>
    <t>Marine protected areas facilitate parasite populations among four fished host species of central Chile</t>
  </si>
  <si>
    <t>Wood, Chelsea L.; Micheli, Fiorenza; Fernandez, Miriam; Gelcich, Stefan; Carlos Castilla, Juan; Carvajal, Juan</t>
  </si>
  <si>
    <t>JOURNAL OF ANIMAL ECOLOGY</t>
  </si>
  <si>
    <t>1276-1287</t>
  </si>
  <si>
    <t>10.1111/1365-2656.12104</t>
  </si>
  <si>
    <t>The chemical composition of Lessonia berteroana (ex L. nigrescens) in kelp harvest management and open access areas near Coquimbo, Chile</t>
  </si>
  <si>
    <t>Alonso Vega, J. M.; Toledo, Pedro H.</t>
  </si>
  <si>
    <t>LATIN AMERICAN JOURNAL OF AQUATIC RESEARCH</t>
  </si>
  <si>
    <t>258-267</t>
  </si>
  <si>
    <t>10.3856/vol46-issue2-fulltext-2</t>
  </si>
  <si>
    <t>Increased Parasitism of Limpets by a Trematode Metacercaria in Fisheries Management Areas of Central Chile: Effects on Host Growth and Reproduction</t>
  </si>
  <si>
    <t>Aldana, Marcela; Pulgar, Jose M.; Orellana, Nathalie; Patricio Ojeda, F.; Roberto Garcia-Huidobro, M.</t>
  </si>
  <si>
    <t xml:space="preserve">ECOHEALTH </t>
  </si>
  <si>
    <t>215-226</t>
  </si>
  <si>
    <t>10.1007/s10393-013-0876-9</t>
  </si>
  <si>
    <t>Growth and population structure of Argopecten purpuratus at La Rinconada Marine Reserve, Antofagasta, Chile</t>
  </si>
  <si>
    <t>AvendaÃ±o, M; CantillÃ¡nez, M</t>
  </si>
  <si>
    <t>CIENCIAS MARINAS</t>
  </si>
  <si>
    <t>491-503</t>
  </si>
  <si>
    <t>10.7773/cm.v31i3.46</t>
  </si>
  <si>
    <t>Predation and anthropogenic impact on community structure of boulder beaches</t>
  </si>
  <si>
    <t>Aldana, Marcela; Maturana, Diego; Pulgar, Jose; Garcia-Huidobro, M. Roberto</t>
  </si>
  <si>
    <t xml:space="preserve">SCIENTIA MARINA </t>
  </si>
  <si>
    <t>543-551</t>
  </si>
  <si>
    <t>10.3989/scimar.04444.27A</t>
  </si>
  <si>
    <t>Biophysical performance indicators for secondary resources reveal positive effects at the community level in La Rinconada Marine Reserve (Antofagasta, Chile), SE Pacific Ocean</t>
  </si>
  <si>
    <t>Avendano, Miguel; Cantillanez, Marcela</t>
  </si>
  <si>
    <t>299-313</t>
  </si>
  <si>
    <t>10.3856/vol53-issue2-fulltext-3287</t>
  </si>
  <si>
    <t>POSTSETTLEMENT MORTALITY IN PHRAGMATOPOMA-VIRGINI (POLYCHAETA, SABELLARIIDAE) AT THE MEHUIN-MARINE-RESERVE, CHILE</t>
  </si>
  <si>
    <t>ZAMORANO, JH; MORENO, CA; DUARTE, WE</t>
  </si>
  <si>
    <t>MARINE ECOLOGY PROGRESS SERIES</t>
  </si>
  <si>
    <t>149-155</t>
  </si>
  <si>
    <t>10.3354/meps127149</t>
  </si>
  <si>
    <t>Egg production patterns of two invertebrate species in rocky subtidal areas under different fishing regimes along the coast of central Chile</t>
  </si>
  <si>
    <t>Blanco, Marta; Ospina-Alvarez, Andres; Gonzalez, Catherine; Fernandez, Miriam</t>
  </si>
  <si>
    <t>PLOS ONE</t>
  </si>
  <si>
    <t>10.1371/journal.pone.0176758</t>
  </si>
  <si>
    <t>Evidence of illegal catch in the benthic artisanal fisheries of central Chile: patterns across species and management regimes</t>
  </si>
  <si>
    <t>Fernandez, Miriam; Kriegl, Michael; Garmendia, Vladimir; Aguilar, Ainara; Dulce Subida, Maria</t>
  </si>
  <si>
    <t>287-303</t>
  </si>
  <si>
    <t xml:space="preserve">
10.3856/vol48-issue2-fulltext-2475</t>
  </si>
  <si>
    <t>Management regime influences the recovery of subtidal kelp forests following harvesting</t>
  </si>
  <si>
    <t>Perez-Matus, Alejandro; Munoz-Cordovez, Rodrigo; Ruz, Catalina S.; Gonzalez-Alonso-de-Linaje, Camila; Sinuela, Juan Pablo; Earp, Hannah S.; Gouraguine, Adam; Hinostroza, Diego; Gamarra, Alex; Uribe, Roberto A.; Smale, Dan A.; Burrows, Michael T.; Gelcich, Stefan; Faugeron, Sylvain; Valdivia, Nelson; Moore, Pippa J.</t>
  </si>
  <si>
    <t>JOURNAL OF APPLIED ECOLOGY</t>
  </si>
  <si>
    <t>2676-2687</t>
  </si>
  <si>
    <t xml:space="preserve">
10.1111/1365-2664.70134</t>
  </si>
  <si>
    <t>Assessment of Exploitation Intensity of Commercial Species and Associated Benthic Communities, in Chilean Marine Management Areas of North Patagonia</t>
  </si>
  <si>
    <t>Hamame, Madeleine; Ortiz, Paula</t>
  </si>
  <si>
    <t>FRONTIERS IN MARINE SCIENCE</t>
  </si>
  <si>
    <t>10.3389/fmars.2021.635756</t>
  </si>
  <si>
    <t>OVER-EXPLOITATION OF PYURA-CHILENSIS (ASCIDIACEA) IN SOUTHERN CHILE - THE URGENT NEED TO ESTABLISH MARINE RESERVES</t>
  </si>
  <si>
    <t>DAVIS, AR</t>
  </si>
  <si>
    <t>REVISTA CHILENA DE HISTORIA NATURAL</t>
  </si>
  <si>
    <t>107-116</t>
  </si>
  <si>
    <t>THE RESPONSE OF AN INTERTIDAL CONCHOLEPAS-CONCHOLEPAS (GASTROPODA) POPULATION TO PROTECTION FROM MAN IN SOUTHERN CHILE AND THE EFFECTS ON BENTHIC SESSILE ASSEMBLAGES</t>
  </si>
  <si>
    <t>MORENO, CA; LUNECKE, KM; LEPEZ, MI</t>
  </si>
  <si>
    <t xml:space="preserve">OIKOS </t>
  </si>
  <si>
    <t>359-364</t>
  </si>
  <si>
    <t>10.2307/3565835</t>
  </si>
  <si>
    <t>The intensity of kelp harvesting shapes the population structure of the foundation species Lessonia trabeculata along the Chilean coastline</t>
  </si>
  <si>
    <t>Gouraguine, Adam; Moore, Pippa; Burrows, Michael T.; Velasco, Eliana; Ariz, Luis; Figueroa-Fabrega, Luis; Munoz-Cordovez, Rodrigo; Fernandez-Cisternas, Italo; Smale, Dan; Perez-Matus, Alejandro</t>
  </si>
  <si>
    <t>MARINE BIOLOGY</t>
  </si>
  <si>
    <t xml:space="preserve">
10.1007/s00227-021-03870-7</t>
  </si>
  <si>
    <t>Long-term changes in population density of Fissurella picta and Fissurella limbata (Gastropoda) in the marine reserve of Mehuin, Chile</t>
  </si>
  <si>
    <t>Duarte, WE; Asencio, G; Moreno, CA</t>
  </si>
  <si>
    <t>45-56</t>
  </si>
  <si>
    <t>Recruitment of Homalaspis plana in intertidal habitats of central Chile and implications for the current use of Management and Marine Protected Areas</t>
  </si>
  <si>
    <t>FernÃ¡ndez, M; Castilla, JC</t>
  </si>
  <si>
    <t>157-170</t>
  </si>
  <si>
    <t>10.3354/meps208157</t>
  </si>
  <si>
    <t>Artificial collection and early growth of spat of the scallop Argopecten purpuratus (Lamarck, 1819), in La Rinconada Marine Reserve, Antofagasta, Chile</t>
  </si>
  <si>
    <t>Avendano D, Miguel; Cantillanez S., Marcela; Thouzeau, Gerard; Pena, Juan B.</t>
  </si>
  <si>
    <t>SCIENTIA MARINA</t>
  </si>
  <si>
    <t>197-205</t>
  </si>
  <si>
    <t>10.3989/scimar.2007.71n1197</t>
  </si>
  <si>
    <t>Changes in the distribution density of locate, Thaisella chocolata (Duclos, 1832) (Gastropoda, Thaididae) as an indicator for predicting their reproductive events</t>
  </si>
  <si>
    <t>Avendano, Miguel; Cantillanez, Marcela; Oliva, Marcelo; Gonzalez, Maria</t>
  </si>
  <si>
    <t>238-247</t>
  </si>
  <si>
    <t>10.3856/vol51-issue2-fulltext-2985</t>
  </si>
  <si>
    <t>Effect of immersion time of cultch on spatfall of the scallop Argopecten purpuratus (Lamarck 1819) in the Marine Reserve at La Riconada, Antofagasta, Chile</t>
  </si>
  <si>
    <t>Diaz, Miguel Avendano; Silva, Marcela Cantillanez; Forner, Juan Pena</t>
  </si>
  <si>
    <t>AQUACULTURE INTERNATIONAL</t>
  </si>
  <si>
    <t>267-283</t>
  </si>
  <si>
    <t>10.1007/s10499-005-9033-y</t>
  </si>
  <si>
    <t>Improving Argopecten purpuratus culture in northern Chile:: Results from the study of larval and post-larval stages in relation to environmental forcing</t>
  </si>
  <si>
    <t>Silva, Marcela Cantillanez; Thouzeau, Gerard; Avendano, Miguel</t>
  </si>
  <si>
    <t>AQUACULTURE</t>
  </si>
  <si>
    <t>423-443</t>
  </si>
  <si>
    <t>10.1016/j.aquaculture.2007.07.211</t>
  </si>
  <si>
    <t>Drivers and trends in catch of benthic resources in Chilean TURFs and surrounding open access areas</t>
  </si>
  <si>
    <t>Beckensteiner, Jennifer; Scheld, Andrew M.; Fernandez, Miriam; Kaplan, David M.</t>
  </si>
  <si>
    <t xml:space="preserve">OCEAN &amp; COASTAL MANAGEMENT </t>
  </si>
  <si>
    <t>10.1016/j.ocecoaman.2019.104961</t>
  </si>
  <si>
    <t>Marine biodiversity at the end of the world: Cape Horn and Diego Ramirez islands</t>
  </si>
  <si>
    <t>Friedlander, Alan M.; Ballesteros, Enric; Bell, Tom W.; Giddens, Jonatha; Henning, Brad; Hune, Mathias; Munoz, Alex; Salinas-de-Leon, Pelayo; Sala, Enric</t>
  </si>
  <si>
    <t>10.1371/journal.pone.0189930</t>
  </si>
  <si>
    <t xml:space="preserve">Interactions Between Spatially Explicit Conservation and Management Measures: Implications for the Governance of Marine Protected Areas
</t>
  </si>
  <si>
    <t>Carcamo, P. Francisco; Gaymer, Carlos F.</t>
  </si>
  <si>
    <t>ENVIRONMENTAL MANAGEMENT</t>
  </si>
  <si>
    <t>1355-1368</t>
  </si>
  <si>
    <t>10.1007/s00267-013-0167-9</t>
  </si>
  <si>
    <t>Applying an ecosystem service approach to unravel links between ecosystems and society in the coast of central Chile</t>
  </si>
  <si>
    <t>de Juan, Silvia; Gelcich, Stefan; Ospina-Alvarez, Andres; Perez-Matus, Alejandro; Fernandez, Miriam</t>
  </si>
  <si>
    <t>SCIENCE OF THE TOTAL ENVIRONMENT</t>
  </si>
  <si>
    <t>122-132</t>
  </si>
  <si>
    <t>10.1016/j.scitotenv.2015.06.094</t>
  </si>
  <si>
    <t>Artisanal fishers' perceptions regarding coastal co-management policies in Chile and their potentials to scale-up marine biodiversity conservation</t>
  </si>
  <si>
    <t>Gelcich, Stefan; Godoy, Natalio; Castilla, Juan C.</t>
  </si>
  <si>
    <t>424-432</t>
  </si>
  <si>
    <t xml:space="preserve">10.1016/j.ocecoaman.2009.07.005
</t>
  </si>
  <si>
    <t>ISO 14001: Towards international quality environmental management standards for marine protected areas</t>
  </si>
  <si>
    <t>Thompson, Myles H.; Dumont, Clement P.; Gaymer, Carlos F.</t>
  </si>
  <si>
    <t>727-739</t>
  </si>
  <si>
    <t>10.1016/j.ocecoaman.2008.07.004</t>
  </si>
  <si>
    <t>A large-scale marine protected area for the sea of Rapa Nui: From ocean grabbing to legitimacy</t>
  </si>
  <si>
    <t>Aburto, Jaime A.; Gaymer, Carlos F.; Govan, Hugh</t>
  </si>
  <si>
    <t>10.1016/j.ocecoaman.2020.105327</t>
  </si>
  <si>
    <t>Social-Ecological Collapse: TURF Governance in the Context of Highly Variable Resources in Chile</t>
  </si>
  <si>
    <t>Aburto, Jaime A.; Stotz, Wolfgang B.; Cundill, Georgina</t>
  </si>
  <si>
    <t xml:space="preserve">ECOLOGY AND SOCIETY </t>
  </si>
  <si>
    <t>10.5751/ES-06145-190102</t>
  </si>
  <si>
    <t>Toward understanding the long-term persistence of a local governance system among artisanal fishers in Chile</t>
  </si>
  <si>
    <t>Aburto, Jaime A.; Stotz, Wolfgang; Cundill, Georgina; Tapia, Carlos</t>
  </si>
  <si>
    <t>ECOLOGY AND SOCIETY</t>
  </si>
  <si>
    <t>10.5751/ES-12479-260305</t>
  </si>
  <si>
    <t>Toward marine democracy in Chile: Examining aquaculture ecological impacts through common property local ecological knowledge</t>
  </si>
  <si>
    <t>Anbleyth-Evans, Jeremy; Araos Leiva, Francisco; Ther Rios, Francisco; Segovia Cortes, Ricardo; Haussermann, Vreni; Aguirre-Munoz, Carolina</t>
  </si>
  <si>
    <t xml:space="preserve">MARINE POLICY </t>
  </si>
  <si>
    <t>10.1016/j.marpol.2019.103690</t>
  </si>
  <si>
    <t>Marine conservation may not deliver ecosystem services and benefits to all: Insights from Chilean Patagonia</t>
  </si>
  <si>
    <t>Brain, M. J.; Nahuelhual, L.; Gelcich, S.; Bozzeda, F.</t>
  </si>
  <si>
    <t xml:space="preserve">ECOSYSTEM SERVICES </t>
  </si>
  <si>
    <t>10.1016/j.ecoser.2020.101170</t>
  </si>
  <si>
    <t>Characterising the co-management system in the Biobío Region, Chile, based on fishers' and experts' knowledge: A dual perspective</t>
  </si>
  <si>
    <t>Franco-Melendez, Milagros; Tam, Jorge; Aguado, Simon Hernandez; Cubillos, Luis A.; Cid-Aguayo, Beatriz</t>
  </si>
  <si>
    <t>MARINE POLICY</t>
  </si>
  <si>
    <t>10.1016/j.marpol.2025.106749</t>
  </si>
  <si>
    <t>New marine commons along the Chilean coast-the management areas (MAs) of Peñuelas and Chigualoco</t>
  </si>
  <si>
    <t>Gallardo-FernÃ¡ndez, G.L.; Friman, E.</t>
  </si>
  <si>
    <t>International Journal of the Commons</t>
  </si>
  <si>
    <t>433-458</t>
  </si>
  <si>
    <t>10.18352/ijc.284</t>
  </si>
  <si>
    <t>Territorial user rights for artisanal fisheries in Chile - intended and unintended outcomes</t>
  </si>
  <si>
    <t>Aburto, J.; Gallardo, G.; Stotz, W.; Cerda, C.; Mondaca-Schachermayer, C.; Vera, K.</t>
  </si>
  <si>
    <t>284-295</t>
  </si>
  <si>
    <t>10.1016/j.ocecoaman.2012.09.015</t>
  </si>
  <si>
    <t>Evaluating the effects of management regime on the recovery process of Lessonia trabeculata to harvesting</t>
  </si>
  <si>
    <t>Ruz, Catalina S.; Moore, Pippa J.; Perez-Matus, Alejandro</t>
  </si>
  <si>
    <t>10.1007/s10811-025-03727-2</t>
  </si>
  <si>
    <t>Management regimes influence the response of Chilean kelp fishers when facing hypothetical future scenarios</t>
  </si>
  <si>
    <t>Gonzalez-Roca, Fernando; Vasquez, Julio A.; Gelcich, Stefan; Perez-Ruzafa, Angel</t>
  </si>
  <si>
    <t xml:space="preserve">JOURNAL FOR NATURE CONSERVATION </t>
  </si>
  <si>
    <t xml:space="preserve">
10.1016/j.jnc.2025.127082</t>
  </si>
  <si>
    <t>Temperate rocky reef fish community patterns in a coastal marine protected area (MPA) from northern Chile, utilizing remote underwater video cameras (RUVs)</t>
  </si>
  <si>
    <t>Gres, M.; HÃ¼ne, M.; Baldanzi, S.; PÃ©rez-Matus, A.; Landaeta, M.F.</t>
  </si>
  <si>
    <t>Regional Studies in Marine Science</t>
  </si>
  <si>
    <t>10.1016/j.rsma.2023.103305</t>
  </si>
  <si>
    <t>Exploring the effects of fishing pressure and upwelling intensity over subtidal kelp forest communities in Central Chile</t>
  </si>
  <si>
    <t>Perez-Matus, Alejandro; Carrasco, Sergio A.; Gelcich, Stefan; Fernandez, Miriam; Wieters, Evie A.</t>
  </si>
  <si>
    <t xml:space="preserve">
10.1002/ecs2.1808</t>
  </si>
  <si>
    <t>The ecological importance of Macrocystis pyrifera (Phaeophyta) forests towards a sustainable management and exploitation of chilean coastal benthic co-management areas</t>
  </si>
  <si>
    <t>Almanza, V.; Buschmann, A.H.</t>
  </si>
  <si>
    <t xml:space="preserve">International Journal of Environment and Sustainable Development </t>
  </si>
  <si>
    <t>341-360</t>
  </si>
  <si>
    <t>10.1504/IJESD.2013.056331</t>
  </si>
  <si>
    <t>Potential Synergies between Nature-Based Tourism and Sustainable Use of Marine Resources: Insights from Dive Tourism in Territorial User Rights for Fisheries in Chile</t>
  </si>
  <si>
    <t>Biggs, Duan; Amar, Francisca; Valdebenito, Abel; Gelcich, Stefan</t>
  </si>
  <si>
    <t xml:space="preserve">
10.1371/journal.pone.0148862</t>
  </si>
  <si>
    <t>The Decreasing Availability of Settlement Surfaces Affects the Transition From Larvae to Early Recruitment of the Scallop Argopecten purpuratus Through El Nina and La Nina Episodes</t>
  </si>
  <si>
    <t>Avendano, Miguel; Cantillanez, Marcela; Riascos, Jose M.</t>
  </si>
  <si>
    <t xml:space="preserve">
10.3389/fmars.2019.00630</t>
  </si>
  <si>
    <t>Co-Management of Small-Scale Fisheries in Chile From a Network Governance Perspective</t>
  </si>
  <si>
    <t>Albornoz, Cristian; Glueckler, Johannes</t>
  </si>
  <si>
    <t xml:space="preserve">ENVIRONMENTS </t>
  </si>
  <si>
    <t>10.3390/environments7120104</t>
  </si>
  <si>
    <t>Learning about TURFs and natural variability: Failure of surf clam management in Chile</t>
  </si>
  <si>
    <t>Aburto, J.; Stotz, W.</t>
  </si>
  <si>
    <t>88-89</t>
  </si>
  <si>
    <t>10.1016/j.ocecoaman.2012.10.013</t>
  </si>
  <si>
    <t>Legitimate network governance in small-scale fisheries in northern Chile</t>
  </si>
  <si>
    <t>Albornoz, Cristian; Panitz, Robert; Glueckler, Johannes</t>
  </si>
  <si>
    <t>AREA DEVELOPMENT AND POLICY</t>
  </si>
  <si>
    <t>204-227</t>
  </si>
  <si>
    <t>10.1080/23792949.2023.2289368</t>
  </si>
  <si>
    <t>Illegal fishing and territorial user rights in Chile</t>
  </si>
  <si>
    <t>Oyanedel, Rodrigo; Keim, Andres; Carlos Castilla, Juan; Gelcich, Stefan</t>
  </si>
  <si>
    <t>619-627</t>
  </si>
  <si>
    <t>10.1111/cobi.13048</t>
  </si>
  <si>
    <t>Artisanal Fisher Association Leaders' Estimates of Poaching in Their Exclusive Access Management Areas</t>
  </si>
  <si>
    <t>Romero, Pedro; Estevez, Rodrigo A.; Romero, Pablo; Gelcich, Stefan</t>
  </si>
  <si>
    <t>10.3389/fmars.2021.796518</t>
  </si>
  <si>
    <t>Can the territorial use rights in fisheries (TURF) stabilize the landings of a highly variable benthic resource? Reexamining the fishery of Concholepas concholepas in North-Central Chile</t>
  </si>
  <si>
    <t>Cerda, Osvaldo; Stotz, Wolfgang B.</t>
  </si>
  <si>
    <t>10.1016/j.ocecoaman.2022.106158</t>
  </si>
  <si>
    <t>The Importance of Interplay Between Leadership and Social Capital in Shaping Outcomes of Rights-Based Fisheries Governance</t>
  </si>
  <si>
    <t>Crona, Beatrice; Gelcich, Stefan; Bodin, Orjan</t>
  </si>
  <si>
    <t xml:space="preserve">WORLD DEVELOPMENT </t>
  </si>
  <si>
    <t>Advances and challenges in marine conservation in Chile: A regional and global comparison</t>
  </si>
  <si>
    <t>Fernandez, Miriam; Rodriguez-Ruiz, Montserrat; Gelcich, Stefan; Hiriart-Bertrand, Luciano; Carlos Castilla, Juan</t>
  </si>
  <si>
    <t>1760-1771</t>
  </si>
  <si>
    <t>10.1002/aqc.3570</t>
  </si>
  <si>
    <t>Explaining humpback whale' distribution and abundance in the Magellan Strait, Chile</t>
  </si>
  <si>
    <t>Sapag, Catalina; Capella, Juan; Vilina, Yerko; van Langevelde, Frank</t>
  </si>
  <si>
    <t>GLOBAL ECOLOGY AND CONSERVATION</t>
  </si>
  <si>
    <t>10.1016/j.gecco.2025.e03856</t>
  </si>
  <si>
    <t>Sustainability Analysis of the Benthic Fisheries Managed in the TURF System in Chile</t>
  </si>
  <si>
    <t>Arias, Natalia; Stotz, Wolfgang</t>
  </si>
  <si>
    <t>INTERNATIONAL JOURNAL OF THE COMMONS</t>
  </si>
  <si>
    <t>344-365</t>
  </si>
  <si>
    <t>10.5334/ijc.1011</t>
  </si>
  <si>
    <t>Management policies impact fishers' income beyond tolerable limits: The case of the Chilean TURFs in Central Chile</t>
  </si>
  <si>
    <t>Arias, Natalia M.; Stotz, Wolfgang B.</t>
  </si>
  <si>
    <t>10.1016/j.marpol.2023.105834</t>
  </si>
  <si>
    <t>Exploring the influence of upwelling on the total allowed catch and harvests of a benthic gastropod managed under a territorial user rights for fisheries regime along the Chilean coast</t>
  </si>
  <si>
    <t>Anguita, Cristobal; Gelcich, Stefan; Aldana, Marcela; Pulgar, Jose</t>
  </si>
  <si>
    <t>10.1016/j.ocecoaman.2020.105256</t>
  </si>
  <si>
    <t>Implementation of seed collection programs for the recovery of Argopecten purpuratus populations in the La Rinconada marine reserve (Antofagasta, Chile)</t>
  </si>
  <si>
    <t>AvendaÃ±o, M.; CantillÃ¡nez, M.; GonzÃ¡lez, J.E.</t>
  </si>
  <si>
    <t xml:space="preserve">Aquatic Conservation: Marine and Freshwater Ecosystems </t>
  </si>
  <si>
    <t>215-225</t>
  </si>
  <si>
    <t>10.1002/aqc.3910</t>
  </si>
  <si>
    <t>Argopecten purpuratus (Mollusca, Pectinidae) post-El Nino 1997-98 response in La Rinconada Marine Reserve (Antofagasta, Chile)</t>
  </si>
  <si>
    <t>168-180</t>
  </si>
  <si>
    <t xml:space="preserve">
10.3856/vol50-issue2-fulltext-2776</t>
  </si>
  <si>
    <t>Trace metal and biomarker levels in tissues of Argopecten purpuratus in the north of Chile, and the potential use of this species as a bioindicator of metallic stress</t>
  </si>
  <si>
    <t>Zapata, Manuel; Lang, Marianne; Riso, Ricardo; Moraga, Dario; Riquelme, Carlos</t>
  </si>
  <si>
    <t>AQUATIC LIVING RESOURCES</t>
  </si>
  <si>
    <t>259-267</t>
  </si>
  <si>
    <t>10.1051/alr/2012024</t>
  </si>
  <si>
    <t>Towards the creation of an integrated system of protected areas in Chile: achievements and challenges</t>
  </si>
  <si>
    <t>Squeo, Francisco A.; Estevez, Rodrigo A.; Stoll, Alexandra; Gaymer, Carlos F.; Letelier, Luis; Sierralta, Leonel</t>
  </si>
  <si>
    <t xml:space="preserve">PLANT ECOLOGY &amp; DIVERSITY </t>
  </si>
  <si>
    <t>233-243</t>
  </si>
  <si>
    <t>10.1080/17550874.2012.679012</t>
  </si>
  <si>
    <t>Effect of social networks on the economic performance of TURFs: The case of the artisanal fishermen organizations in Southern Chile</t>
  </si>
  <si>
    <t>Rosas, Juan; Dresdner, Jorge; Chavez, Carlos; Quiroga, Miguel</t>
  </si>
  <si>
    <t>43-52</t>
  </si>
  <si>
    <t>10.1016/j.ocecoaman.2013.11.012</t>
  </si>
  <si>
    <t>Can a Territorial Use Right for Fisheries management make a difference for fishing communities?</t>
  </si>
  <si>
    <t>Romero, Pedro; Melo, Oscar</t>
  </si>
  <si>
    <t>10.1016/j.marpol.2020.104359</t>
  </si>
  <si>
    <t>A Framework for Estimating the Impact of Monitoring and Enforcement on (Unobserved) Illicit Extraction</t>
  </si>
  <si>
    <t>Quezada, Felipe J.; Chan, Nathan W.</t>
  </si>
  <si>
    <t>ENVIRONMENTAL &amp; RESOURCE ECONOMICS</t>
  </si>
  <si>
    <t>627-647</t>
  </si>
  <si>
    <t>10.1007/s10640-022-00740-8</t>
  </si>
  <si>
    <t>Reproductive and larval cycle of the scallop Argopecten purpuratus (Ostreoida: Pectinidae), during E1 Nino La Nina events and normal weather conditions in Antofagasta, Chile</t>
  </si>
  <si>
    <t>Avendano, Miguel; Cantillanez, Marcela; Le Pennec, Marcel; Thouzeau, Gerard</t>
  </si>
  <si>
    <t>REVISTA DE BIOLOGIA TROPICAL</t>
  </si>
  <si>
    <t>121-132</t>
  </si>
  <si>
    <t>Reproductive cycle of Argopecten purpuratus (Bivalvia: Pectinidae) in La Rinconada marine reserve (Antofagasta, chile): Response to environmental effects of El Nino and La Nina</t>
  </si>
  <si>
    <t>Cantillanez, M; AvendaÃ±o, M; Thouzeau, G; Le Pennec, M</t>
  </si>
  <si>
    <t>181-195</t>
  </si>
  <si>
    <t>10.1016/j.aquaculture.2004.12.031</t>
  </si>
  <si>
    <t>Are southern elephant seals re-invading mid-latitude grounds? New sightings and first birth records off the Chilean Coast</t>
  </si>
  <si>
    <t>Carcamo, Daniel; Pizarro, Marlene; Orellana, Muriel; Munoz, Lily; Pavez, Guido; Sepulveda, Maritza; Rene Duran, L.; Oliva, Doris</t>
  </si>
  <si>
    <t>POLAR BIOLOGY</t>
  </si>
  <si>
    <t>433-440</t>
  </si>
  <si>
    <t>10.1007/s00300-018-2433-z</t>
  </si>
  <si>
    <t>The interplay of natural variability, productivity and management of the benthic ecosystem in the Humboldt Current System: Twenty years of assessment of Concholepas concholepas fishery under a TURF management system</t>
  </si>
  <si>
    <t>Gonzalez, Jorge E.; Yannicelli, Beatriz; Stotz, Wolfgang</t>
  </si>
  <si>
    <t>10.1016/j.ocecoaman.2021.105628</t>
  </si>
  <si>
    <t>Dispossession and governance: The invisible role of indigenous peoples in protected natural areas in Chile</t>
  </si>
  <si>
    <t>Huaiquimilla-Guerrero, Katherine; Moscote-Guerra, Jeimy; Ramirez-Rivera, Sebastian; Duhalde-Correa, Luciano A.; Peralta-Scholz, Maria Jose; Silva, Fernanda Orellana; Plaza, Veronica; Barrera, Adrian Sanhueza; Squeo, Francisco A.; Gaymer, Carlos F.</t>
  </si>
  <si>
    <t>ENVIRONMENTAL SCIENCE &amp; POLICY</t>
  </si>
  <si>
    <t>10.1016/j.envsci.2023.103587</t>
  </si>
  <si>
    <t>Do changes in microhabitat availability within a Marine Reserve reduce the species richness of small mobile macrofauna and meiofauna?</t>
  </si>
  <si>
    <t>Lee, Matthew R.; Carlos Castilla, Juan</t>
  </si>
  <si>
    <t>JOURNAL OF THE MARINE BIOLOGICAL ASSOCIATION OF THE UNITED KINGDOM</t>
  </si>
  <si>
    <t>1283-1288</t>
  </si>
  <si>
    <t>10.1017/S0025315411001172</t>
  </si>
  <si>
    <t>Evidence of clandestine harvest and failure of conservation policies for Argopecten purpuratus in the Rinconada Marine Reserve (Chile)</t>
  </si>
  <si>
    <t>Avendano, Miguel; Cantillanez, Marcela; Thouzeau, Gerard</t>
  </si>
  <si>
    <t>588-603</t>
  </si>
  <si>
    <t>10.1002/aqc.2721</t>
  </si>
  <si>
    <t>Marine protected areas invaded by floating anthropogenic litter: An example from the South Pacific</t>
  </si>
  <si>
    <t>Luna-Jorquera, Guillermo; Thiel, Martin; Portflitt-Toro, Matias; Dewitte, Boris</t>
  </si>
  <si>
    <t>245-259</t>
  </si>
  <si>
    <t>10.1002/aqc.3095</t>
  </si>
  <si>
    <t>Managing and defending the commons: Experimental evidence from TURFs in Chile</t>
  </si>
  <si>
    <t>Chavez, Carlos A.; Murphy, James J.; Stranlund, John K.</t>
  </si>
  <si>
    <t>JOURNAL OF ENVIRONMENTAL ECONOMICS AND MANAGEMENT</t>
  </si>
  <si>
    <t>229-246</t>
  </si>
  <si>
    <t>10.1016/j.jeem.2018.07.004</t>
  </si>
  <si>
    <t>Effects of human activity on the structure of coastal marine bird assemblages in central Chile</t>
  </si>
  <si>
    <t>Cornelius, C; Navarrete, SA; Marquet, PA</t>
  </si>
  <si>
    <t xml:space="preserve">CONSERVATION BIOLOGY </t>
  </si>
  <si>
    <t>1396-1404</t>
  </si>
  <si>
    <t>10.1046/j.1523-1739.2001.00163.x</t>
  </si>
  <si>
    <t>The endogenous formation of common pool resource coalitions</t>
  </si>
  <si>
    <t>ChÃ¡vez, C.A.; Murphy, J.J.; Quezada, F.J.; Stranlund, J.K.</t>
  </si>
  <si>
    <t>Journal of Economic Behavior and Organization</t>
  </si>
  <si>
    <t>82-102</t>
  </si>
  <si>
    <t>10.1016/j.jebo.2023.04.028</t>
  </si>
  <si>
    <t>Why are Fishers not Enforcing Their Marine User Rights?</t>
  </si>
  <si>
    <t>Davis, Katrina J.; Kragt, Marit E.; Gelcich, Stefan; Burton, Michael; Schilizzi, Steven; Pannell, David J.</t>
  </si>
  <si>
    <t>661-681</t>
  </si>
  <si>
    <t>10.1007/s10640-015-9992-z</t>
  </si>
  <si>
    <t>Moving Beyond Co-Management: Opportunities and Limitations for Enabling Transitions to Polycentric Governance in Chile's Territorial User Rights in Fisheries Policy</t>
  </si>
  <si>
    <t>Ebel, Sarah A.</t>
  </si>
  <si>
    <t>278-295</t>
  </si>
  <si>
    <t xml:space="preserve">
10.5334/ijc.998</t>
  </si>
  <si>
    <t>Opportunities and constraints of the institutional framework for the implementation of ecosystem-based management: The case of the Chilean coast</t>
  </si>
  <si>
    <t>Francisco Carcamo, P.; Garay-Fluehmann, Rosa; Gaymer, Carlos F.</t>
  </si>
  <si>
    <t>193-203</t>
  </si>
  <si>
    <t>10.1016/j.ocecoaman.2013.08.003</t>
  </si>
  <si>
    <t>Trophic Ecology of Humpback Whales (Megaptera novaeangliae) in the Magellan Strait as Indicated by Carbon and Nitrogen Stable Isotopes</t>
  </si>
  <si>
    <t>Haro, Daniela; Riccialdelli, Luciana; Acevedo, Jorge; Aguayo-Lobo, Anelio; Montiel, Americo</t>
  </si>
  <si>
    <t>AQUATIC MAMMALS</t>
  </si>
  <si>
    <t>233-244</t>
  </si>
  <si>
    <t>10.1578/AM.42.2.2016.233</t>
  </si>
  <si>
    <t>Effects of water depth on survival and growth of Argopecten purpuratus (Lamarck, 1819) spat in northern Chile</t>
  </si>
  <si>
    <t>377-391</t>
  </si>
  <si>
    <t>10.1007/s10499-007-9151-9</t>
  </si>
  <si>
    <t>Territorial Use Rights for Fisheries (TURF) in central-southern Chile: Their sustainability status from a transdisciplinary holistic approach</t>
  </si>
  <si>
    <t>Franco-Melendez, Milagros; Cubillos, Luis A.; Tam, Jorge; Hernandez Aguado, Simon; Quinones, Renato A.; Hernandez, Aldo</t>
  </si>
  <si>
    <t>10.1016/j.marpol.2021.104644</t>
  </si>
  <si>
    <t>Fishers' perceptions on the Chilean coastal TURF system after two decades: problems, benefits, and emerging needs</t>
  </si>
  <si>
    <t>Gelcich, S.; Cinner, J.; Donlan, C. J.; Tapia-Lewin, S.; Godoy, N.; Castilla, J. C.</t>
  </si>
  <si>
    <t>BULLETIN OF MARINE SCIENC</t>
  </si>
  <si>
    <t>53-67</t>
  </si>
  <si>
    <t xml:space="preserve">
10.5343/bms.2015.1082</t>
  </si>
  <si>
    <t>Growth of Argopecten purpuratus (Mollusca: Bivalvia) on a natural bank in Northern Chile:: sclerochronological record and environmental controls</t>
  </si>
  <si>
    <t>Thebault, Julien; Thouzeau, Gerard; Chauvaud, Laurent; Cantillanez, Marcela; Avendano, Miguel</t>
  </si>
  <si>
    <t>45-55</t>
  </si>
  <si>
    <t xml:space="preserve">
10.1051/alr:2008021</t>
  </si>
  <si>
    <t>Situational crime analysis of poaching within Territorial Use Rights Fisheries (TURFs)</t>
  </si>
  <si>
    <t>Vallejos, T.; Nahuelhual, L.; Gelcich, S.; Oyanedel, R.</t>
  </si>
  <si>
    <t>Frontiers in Marine Science</t>
  </si>
  <si>
    <t>10.3389/fmars.2024.1419800</t>
  </si>
  <si>
    <t>Importance of attitudinal differences among artisanal fishers toward co-management and conservation of marine resources</t>
  </si>
  <si>
    <t>Gelcich, S; Edwards-Jones, G; Kaiser, MJ</t>
  </si>
  <si>
    <t>865-875</t>
  </si>
  <si>
    <t>10.1111/j.1523-1739.2005.00534.x</t>
  </si>
  <si>
    <t>Presence, Behavior, and Resighting Pattern of Transient Bottlenose Dolphins (Tursiops truncatus) in the Humboldt Current System off North-Central Chile</t>
  </si>
  <si>
    <t>Santos-Carvallo, Macarena; Sepulveda, Maritza; Moraga, Rodrigo; Landaeta, Mauricio F.; Oliva, Doris; Jose Perez-Alvarez, Maria</t>
  </si>
  <si>
    <t>PACIFIC SCIENCE</t>
  </si>
  <si>
    <t>41-56</t>
  </si>
  <si>
    <t>10.2984/72.1.3</t>
  </si>
  <si>
    <t>Integration of biophysical connectivity in the spatial optimization of coastal ecosystem services</t>
  </si>
  <si>
    <t>Ospina-Alvarez, Andres; de Juan, Silvia; Davis, Katrina J.; Gonzalez, Catherine; Fernandez, Miriam; Navarrete, Sergio A.</t>
  </si>
  <si>
    <t>10.1016/j.scitotenv.2020.139367</t>
  </si>
  <si>
    <t>Quota compliance in TURFs: An experimental analysis on complementarities of formal and informal enforcement with changes in abundance</t>
  </si>
  <si>
    <t>Santis, O.; ChÃ¡vez, C.A.</t>
  </si>
  <si>
    <t>Ecological Economics</t>
  </si>
  <si>
    <t>440-450</t>
  </si>
  <si>
    <t>10.1016/j.ecolecon.2015.11.017</t>
  </si>
  <si>
    <t>Native avian predators for the world's Black-browed Albatross (Thalassarche melanophrys) breeding colony in inner waters of Tierra del Fuego, Chile</t>
  </si>
  <si>
    <t>Droguett, Daniela; Arredondo, Cristobal; Dougnac, Catherine; Kusch, Alejandro; Montiel, Americo; Vila, Alejandro</t>
  </si>
  <si>
    <t>77-85</t>
  </si>
  <si>
    <t>10.1007/s00300-022-03107-3</t>
  </si>
  <si>
    <t>Integrating human and ecological dimensions: The importance of stakeholders' perceptions and participation on the performance of fisheries co-management in Chile</t>
  </si>
  <si>
    <t>Franco-Melendez, Milagros; Tam, Jorge; van Putten, Ingrid; Cubillos, Luis A.</t>
  </si>
  <si>
    <t>10.1371/journal.pone.0254727</t>
  </si>
  <si>
    <t>Does the Chilean TURFs achieve the sustainability of its fisheries? Evaluation of its performance considering the administrative, biological, and economic dimensions of this fisheries regime.</t>
  </si>
  <si>
    <t>Romero, Pedro; Bularz, Bryan; Arenas-Proano, Gabriela; Moreno, Daniel</t>
  </si>
  <si>
    <t>10.3389/fmars.2025.1502422</t>
  </si>
  <si>
    <t>Emerging commons within artisanal fisheries. The Chilean territorial use rights in fisheries (TURFs) within a broader coastal landscape</t>
  </si>
  <si>
    <t>Gallardo, Gloria L.; Stotz, Wolfgang; Aburto, Jaime; Mondaca, Carolin; Vera, Karoll</t>
  </si>
  <si>
    <t>459-484</t>
  </si>
  <si>
    <t>Population trends for humpback whales (Megaptera novaeangliae) foraging in the Francisco Coloane Coastal-Marine Protected Area, Magellan Strait, Chile</t>
  </si>
  <si>
    <t>Monnahan, Cole C.; Acevedo, Jorge; Noble Hendrix, A.; Gende, Scott; Aguayo-Lobo, Anelio; Martinez, Francisco</t>
  </si>
  <si>
    <t>MARINE MAMMAL SCIENCE</t>
  </si>
  <si>
    <t>1212-1231</t>
  </si>
  <si>
    <t>10.1111/mms.12582</t>
  </si>
  <si>
    <t>Exploring biodiversity patterns in a marine and coastal protected area: Implications for management within and outside MCPAs</t>
  </si>
  <si>
    <t>Molinet, C.; DÃ­az, M.; GonzÃ¡lez, A.; HenrÃ­quez, J.; Matamala, T.; Boldt, J.; Brito, N.; Espinoza, K.; LafÃ³n, A.; Merino, P.; Parra, R.; Raimilla, V.; Salgado, C.; Valencia, J.; Soto, D.</t>
  </si>
  <si>
    <t>Estuarine, Coastal and Shelf Science</t>
  </si>
  <si>
    <t>10.1016/j.ecss.2023.108540</t>
  </si>
  <si>
    <t>Residential movements of top predators in Chile's most isolated marine protected area: Implications for the conservation of the Galapagos shark, Carcharhinus galapagensis, and the yellowtail amberjack, Seriola lalandi</t>
  </si>
  <si>
    <t>Morales, Naiti A.; Heidemeyer, Maike; Bauer, Robert; Hernandez, Sebastian; Acuna, Enzo; Friedlander, Alan M.; Gaymer, Carlos F.</t>
  </si>
  <si>
    <t>340-355</t>
  </si>
  <si>
    <t>10.1002/aqc.3472</t>
  </si>
  <si>
    <t>Spatial and temporal variability in subtidal macroinvertebrates diversity patterns in a management and exploitation area for benthic resources (MEABRs)</t>
  </si>
  <si>
    <t>Molina, Pilar; Patricio Ojeda, F.; Aldana, Marcela; Pulgar, V. M.; Roberto Garcia-Huidobro, M.; Pulgar, Jose</t>
  </si>
  <si>
    <t>121-128</t>
  </si>
  <si>
    <t>10.1016/j.ocecoaman.2014.03.005</t>
  </si>
  <si>
    <t>Butyltin contamination in Northern Chilean coast: Is there a potential risk for consumers?</t>
  </si>
  <si>
    <t>Mattos, Yasna; Stotz, Wolfgang B.; Romero, Maria Soledad; Bravo, Manuel; Fillmann, Gilberto; Castro, Italo B.</t>
  </si>
  <si>
    <t>209-217</t>
  </si>
  <si>
    <t>10.1016/j.scitotenv.2017.03.264</t>
  </si>
  <si>
    <t>Temporal changes in seabird assemblage structure and trait diversity in the Rapa Nui (Easter Island) multiple-use marine protected area</t>
  </si>
  <si>
    <t>Plaza, Paula; Serratosa, Juan; Gusmao, Joao B.; Duffy, David C.; Arce, Paulina; Luna-Jorquera, Guillermo</t>
  </si>
  <si>
    <t>378-388</t>
  </si>
  <si>
    <t>10.1002/aqc.3501</t>
  </si>
  <si>
    <t>Population Trends of a Mixed-Species Colony of Humboldt and Magellanic Penguins in Southern Chile after Establishing a Protected Area.</t>
  </si>
  <si>
    <t>Reyes-Arriagada, Ronnie; Hiriart-Bertrand, Luciano; Riquelme, Victoria; Simeone, Alejandro; Puetz, Klemens; Luethi, Benno; Raya Rey, Andrea</t>
  </si>
  <si>
    <t>Avian Conservation and Ecology</t>
  </si>
  <si>
    <t>402-411</t>
  </si>
  <si>
    <t>10.5751/ACE-00617-080213</t>
  </si>
  <si>
    <t>Empirical evidence for large-scale human impact on intertidal aggregations, larval supply and recruitment of Pyura praeputialis around the Bay of Antofagasta, Chile</t>
  </si>
  <si>
    <t>Manriquez, Patricio H.; Carlos Castilla, Juan; Ortiz, Veronica; Elisa Jara, Maria</t>
  </si>
  <si>
    <t>AUSTRAL ECOLOGY</t>
  </si>
  <si>
    <t>701-714</t>
  </si>
  <si>
    <t>10.1111/aec.12359</t>
  </si>
  <si>
    <t>Exploring determinants for the implementation of mixed TURF-aquaculture systems</t>
  </si>
  <si>
    <t>Sepulveda, Cristian; Rivera, Antonella; Gelcich, Stefan; Stotz, Wolfgang B.</t>
  </si>
  <si>
    <t>310-317</t>
  </si>
  <si>
    <t>10.1016/j.scitotenv.2019.05.076</t>
  </si>
  <si>
    <t>Significance of marine protected areas in central Chile as seeding grounds for the gastropod Concholepas concholepas</t>
  </si>
  <si>
    <t>Manriquez, Patricio H.; Castilla, Juan Carlos</t>
  </si>
  <si>
    <t>Marine Ecology Progress Series</t>
  </si>
  <si>
    <t>201-211</t>
  </si>
  <si>
    <t>10.3354/meps215201</t>
  </si>
  <si>
    <t>Heterogeneity in fishers' harvesting decisions under a marine territorial user rights policy</t>
  </si>
  <si>
    <t>Gelcich, Stefan; Edwards-Jones, Gareth; Kaiser, Michel J.</t>
  </si>
  <si>
    <t>ECOLOGICAL ECONOMICS</t>
  </si>
  <si>
    <t>246-254</t>
  </si>
  <si>
    <t>10.1016/j.ecolecon.2006.02.017</t>
  </si>
  <si>
    <t>Add-on conservation benefits of marine territorial user rights fishery policies in Central Chile</t>
  </si>
  <si>
    <t>Gelcich, Stefan; Godoy, Natalio; Prado, Luis; Castilla, Juan Carlos</t>
  </si>
  <si>
    <t>273-281</t>
  </si>
  <si>
    <t>10.1890/06-1896.1</t>
  </si>
  <si>
    <t>ECOLOGICAL EXPERIENCES AND PERCEPTIONS OF SMALL-SCALE GILLNET AND PURSE SEINE FISHERS ON SEABIRDS AND OTHER NON-TARGET TAXA IN THE HUMBOLDT CURRENT SYSTEM, CHILE</t>
  </si>
  <si>
    <t>Suazo, Cristian G.; Anguita, Cristobal; Ojeda, Jaime; Luna-jorquera, Guillermo; Sepulveda, Maritza; Yates, Oliver</t>
  </si>
  <si>
    <t>MARINE ORNITHOLOGY</t>
  </si>
  <si>
    <t>771-777</t>
  </si>
  <si>
    <t>10.1007/s00300-024-03269-2</t>
  </si>
  <si>
    <t>Engagement in co-management of marine benthic resources influences environmental perceptions of artisanal fishers</t>
  </si>
  <si>
    <t>Gelcich, Stefan; Kaiser, Michel J.; Castilla, Juan Carlos; Edwards-Jones, Gareth</t>
  </si>
  <si>
    <t>ENVIRONMENTAL CONSERVATION</t>
  </si>
  <si>
    <t>36-45</t>
  </si>
  <si>
    <t>10.1017/S0376892908004475</t>
  </si>
  <si>
    <t>Fishing for social realities -: Challenges to sustainable fisheries management in the Cape Horn Biosphere Reserve</t>
  </si>
  <si>
    <t>Pollack, Gudrun; Berghoefer, Augustin; Berghoefer, Uta</t>
  </si>
  <si>
    <t>233-242</t>
  </si>
  <si>
    <t>10.1016/j.marpol.2007.09.013</t>
  </si>
  <si>
    <t>The Roles of Alpha, Beta, and Functional Diversity Indices in the Ecological Connectivity between Two Sub-Antarctic Macrobenthic Assemblages.</t>
  </si>
  <si>
    <t>Nykol, Jara; Americo, Montiel; Benjamin, Caceres</t>
  </si>
  <si>
    <t>Diversity-Basel</t>
  </si>
  <si>
    <t>1-20</t>
  </si>
  <si>
    <t>10.3390/d16070430</t>
  </si>
  <si>
    <t>Temporal and spatial variation in settlement of the gastropod Concholepas concholepas in natural and artificial substrata</t>
  </si>
  <si>
    <t>MartÃ­nez, P; Navarrete, SA</t>
  </si>
  <si>
    <t>257-264</t>
  </si>
  <si>
    <t>10.1017/S002531540200543X</t>
  </si>
  <si>
    <t>Settlement of the muricid Concholepas concholepas and its relationship with El Nino and coastal upwellings in southern Chile</t>
  </si>
  <si>
    <t>Moreno, CA; Asencio, G; Duarte, WE; Marin, V</t>
  </si>
  <si>
    <t>171-175</t>
  </si>
  <si>
    <t>10.3354/meps167171</t>
  </si>
  <si>
    <t>Using discourses for policy evaluation: The case of marine common property rights in Chile</t>
  </si>
  <si>
    <t>Gelcich, S; Edwards-Jones, G; Kaiser, MJ; Watson, E</t>
  </si>
  <si>
    <t>SOCIETY &amp; NATURAL RESOURCES</t>
  </si>
  <si>
    <t>10.1080/08941920590915279</t>
  </si>
  <si>
    <t>Financing Marine Protected Areas Through Visitor Fees: Insights from Tourists Willingness to Pay in Chile</t>
  </si>
  <si>
    <t>Gelcich, Stefan; Amar, Francisca; Valdebenito, Abel; Carlos Castilla, Juan; Fernandez, Miriam; Godoy, Cecilia; Biggs, Duan</t>
  </si>
  <si>
    <t>AMBIO</t>
  </si>
  <si>
    <t>975-984</t>
  </si>
  <si>
    <t>10.1007/s13280-013-0453-z</t>
  </si>
  <si>
    <t>The Chilean turf system:: How is it performing in the case of the loco fishery?</t>
  </si>
  <si>
    <t>Gonzalez, Jorge; Stotz, Wolfgang; Garrido, Jorge; Orensanz, J. M. (Lobo); Parma, Ana M.; Tapia, Carlos; Zuleta, Alejandro</t>
  </si>
  <si>
    <t xml:space="preserve">BULLETIN OF MARINE SCIENCE </t>
  </si>
  <si>
    <t>499-527</t>
  </si>
  <si>
    <t>Depth as a fish refuge from spearfishing at Rapa Nui: Flight behaviour in the Pacific rudderfish Kyphosus sandwicensis</t>
  </si>
  <si>
    <t>Petit, Ignacio J.; Gaymer, Carlos F.; Friedlander, Alan M.; Gusmao, Joao B.</t>
  </si>
  <si>
    <t>727-740</t>
  </si>
  <si>
    <t>10.1002/aqc.3795</t>
  </si>
  <si>
    <t>Establishing marine protected areas through bottom-up processes: insights from two contrasting initiatives in Chile</t>
  </si>
  <si>
    <t>Oyanedel, Rodrigo; Marin, Andres; Carlos Castilla, Juan; Gelcich, Stefan</t>
  </si>
  <si>
    <t>184-195</t>
  </si>
  <si>
    <t>10.1002/aqc.2546</t>
  </si>
  <si>
    <t>Protected areas in Chile: are we managing them?</t>
  </si>
  <si>
    <t>Petit, Ignacio J.; Campoy, Ana N.; Hevia, Maria-Jose; Gaymer, Carlos F.; Squeo, Francisco A.</t>
  </si>
  <si>
    <t>10.1186/s40693-018-0071-z</t>
  </si>
  <si>
    <t>Fishers' perception: An alternative source of information to assess the data-poor benthic small-scale artisanal fisheries of central Chile</t>
  </si>
  <si>
    <t>Ruano-Chamorro, Cristina; Dulce Subida, Maria; Fernandez, Miriam</t>
  </si>
  <si>
    <t>67-76</t>
  </si>
  <si>
    <t>10.1016/j.ocecoaman.2017.06.007</t>
  </si>
  <si>
    <t>Disaster impacts on co-management networks: longitudinal and comparative analysis of Chilean small-scale fisheries</t>
  </si>
  <si>
    <t>MarÃ­n, A.; Bodin, &amp;Ã–.; Gelcich, S.; Castilla, J.C.</t>
  </si>
  <si>
    <t xml:space="preserve">Frontiers in Marine Science </t>
  </si>
  <si>
    <t>10.3389/fmars.2023.1308656</t>
  </si>
  <si>
    <t>The use of fishers' knowledge to assess benthic resource abundance across management regimes in Chilean artisanal fisheries</t>
  </si>
  <si>
    <t>Garmendia, Vladimir; Subida, Maria Dulce; Aguilar, Ainara; Fernandez, Miriam</t>
  </si>
  <si>
    <t>10.1016/j.marpol.2021.104425</t>
  </si>
  <si>
    <t>Spatial assessment of risks faced by marine protected areas in Chilean Patagonia</t>
  </si>
  <si>
    <t>Harms, Maria Jose Martinez; Larrain-Barrios, Barbara; Arregoitia, Luis D. Verde; Gelcich, Stefan; Alvarez, Ricardo R.; Tecklin, David</t>
  </si>
  <si>
    <t>10.5751/ES-15633-290440</t>
  </si>
  <si>
    <t>Assessing the Efficiency of the Marine Protected Area Systems in the Southeastern Pacific</t>
  </si>
  <si>
    <t>Zucconi, Mauro G.; Opazo, Felipe; Navarrete, Sergio A.</t>
  </si>
  <si>
    <t>10.1002/aqc.70032</t>
  </si>
  <si>
    <t>Identifying keystone trophic groups in benthic ecosystems: Implications for fisheries management</t>
  </si>
  <si>
    <t>Ortiz, Marco; Levins, Richard; Campos, Leonardo; Berrios, Fernando; Campos, Fernando; Jordan, Ferenc; Hermosillo, Brenda; Gonzalez, Jorge; Rodriguez, Fabian</t>
  </si>
  <si>
    <t>ECOLOGICAL INDICATORS</t>
  </si>
  <si>
    <t>133-140</t>
  </si>
  <si>
    <t>10.1016/j.ecolind.2012.08.020</t>
  </si>
  <si>
    <t>Can giant kelp (Macrocystis pyrifera) forests enhance invertebrate recruitment in southern Chile?</t>
  </si>
  <si>
    <t>Almanza, Viviana; Buschmann, Alejandro H.; Hernandez-Gonzalez, Maria C.; Henriquez, Luis A.</t>
  </si>
  <si>
    <t>MARINE BIOLOGY RESEARCH</t>
  </si>
  <si>
    <t>855-864</t>
  </si>
  <si>
    <t>10.1080/17451000.2012.692159</t>
  </si>
  <si>
    <t>Unit of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</si>
</sst>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sz val="10"/>
      <color rgb="FF202020"/>
      <name val="Helvetica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/>
    <xf numFmtId="0" fontId="1" fillId="0" borderId="0" xfId="1"/>
    <xf numFmtId="0" fontId="0" fillId="0" borderId="4" xfId="0" applyBorder="1"/>
    <xf numFmtId="0" fontId="0" fillId="0" borderId="1" xfId="0" applyBorder="1" applyAlignment="1">
      <alignment horizontal="right"/>
    </xf>
    <xf numFmtId="9" fontId="0" fillId="0" borderId="0" xfId="0" applyNumberFormat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9" xfId="0" applyFont="1" applyBorder="1"/>
    <xf numFmtId="0" fontId="0" fillId="0" borderId="9" xfId="0" applyBorder="1" applyAlignment="1">
      <alignment wrapText="1"/>
    </xf>
    <xf numFmtId="16" fontId="0" fillId="0" borderId="0" xfId="0" applyNumberFormat="1"/>
    <xf numFmtId="0" fontId="7" fillId="0" borderId="0" xfId="0" applyFont="1"/>
    <xf numFmtId="0" fontId="7" fillId="0" borderId="9" xfId="0" applyFont="1" applyBorder="1"/>
    <xf numFmtId="0" fontId="0" fillId="0" borderId="13" xfId="0" applyBorder="1"/>
    <xf numFmtId="0" fontId="0" fillId="0" borderId="14" xfId="0" applyBorder="1"/>
    <xf numFmtId="0" fontId="0" fillId="0" borderId="8" xfId="0" applyBorder="1"/>
    <xf numFmtId="0" fontId="0" fillId="0" borderId="15" xfId="0" applyBorder="1"/>
    <xf numFmtId="0" fontId="0" fillId="0" borderId="16" xfId="0" applyBorder="1"/>
    <xf numFmtId="0" fontId="8" fillId="0" borderId="0" xfId="0" applyFont="1"/>
    <xf numFmtId="0" fontId="0" fillId="0" borderId="0" xfId="0" quotePrefix="1"/>
    <xf numFmtId="0" fontId="0" fillId="0" borderId="9" xfId="0" quotePrefix="1" applyBorder="1"/>
    <xf numFmtId="1" fontId="0" fillId="0" borderId="0" xfId="0" applyNumberFormat="1"/>
    <xf numFmtId="49" fontId="0" fillId="0" borderId="0" xfId="0" applyNumberFormat="1"/>
    <xf numFmtId="0" fontId="0" fillId="0" borderId="0" xfId="0" applyBorder="1"/>
    <xf numFmtId="0" fontId="9" fillId="0" borderId="0" xfId="0" applyFont="1" applyFill="1" applyBorder="1" applyAlignment="1"/>
    <xf numFmtId="0" fontId="0" fillId="0" borderId="0" xfId="0" applyBorder="1" applyAlignment="1">
      <alignment wrapText="1"/>
    </xf>
    <xf numFmtId="0" fontId="0" fillId="0" borderId="0" xfId="0" applyFill="1" applyAlignment="1">
      <alignment horizontal="center" wrapText="1"/>
    </xf>
    <xf numFmtId="0" fontId="0" fillId="0" borderId="2" xfId="0" applyFill="1" applyBorder="1" applyAlignment="1">
      <alignment wrapText="1"/>
    </xf>
    <xf numFmtId="0" fontId="0" fillId="0" borderId="2" xfId="0" applyFill="1" applyBorder="1"/>
    <xf numFmtId="0" fontId="0" fillId="0" borderId="0" xfId="0" applyFill="1" applyAlignment="1">
      <alignment wrapText="1"/>
    </xf>
    <xf numFmtId="0" fontId="0" fillId="0" borderId="0" xfId="0" applyFill="1"/>
    <xf numFmtId="0" fontId="0" fillId="0" borderId="9" xfId="0" applyFill="1" applyBorder="1"/>
    <xf numFmtId="0" fontId="0" fillId="0" borderId="5" xfId="0" applyFill="1" applyBorder="1"/>
    <xf numFmtId="0" fontId="0" fillId="0" borderId="9" xfId="0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/>
    <xf numFmtId="0" fontId="0" fillId="0" borderId="3" xfId="0" applyFill="1" applyBorder="1" applyAlignment="1">
      <alignment wrapText="1"/>
    </xf>
    <xf numFmtId="0" fontId="0" fillId="0" borderId="1" xfId="0" applyFill="1" applyBorder="1"/>
    <xf numFmtId="0" fontId="0" fillId="0" borderId="10" xfId="0" applyFill="1" applyBorder="1"/>
    <xf numFmtId="0" fontId="3" fillId="0" borderId="0" xfId="0" applyFont="1" applyFill="1"/>
    <xf numFmtId="3" fontId="3" fillId="0" borderId="0" xfId="0" applyNumberFormat="1" applyFont="1" applyFill="1"/>
    <xf numFmtId="0" fontId="3" fillId="0" borderId="9" xfId="0" applyFont="1" applyFill="1" applyBorder="1"/>
    <xf numFmtId="0" fontId="0" fillId="0" borderId="6" xfId="0" applyFill="1" applyBorder="1"/>
    <xf numFmtId="0" fontId="0" fillId="0" borderId="15" xfId="0" applyFill="1" applyBorder="1"/>
    <xf numFmtId="0" fontId="8" fillId="0" borderId="0" xfId="0" applyFont="1" applyFill="1"/>
    <xf numFmtId="0" fontId="0" fillId="0" borderId="0" xfId="0" quotePrefix="1" applyFill="1"/>
    <xf numFmtId="0" fontId="0" fillId="0" borderId="9" xfId="0" quotePrefix="1" applyFill="1" applyBorder="1"/>
    <xf numFmtId="0" fontId="0" fillId="0" borderId="8" xfId="0" applyFill="1" applyBorder="1"/>
    <xf numFmtId="0" fontId="0" fillId="0" borderId="13" xfId="0" applyFill="1" applyBorder="1"/>
    <xf numFmtId="0" fontId="5" fillId="0" borderId="0" xfId="0" applyFont="1" applyFill="1"/>
    <xf numFmtId="0" fontId="5" fillId="0" borderId="9" xfId="0" applyFont="1" applyFill="1" applyBorder="1"/>
    <xf numFmtId="0" fontId="0" fillId="0" borderId="17" xfId="0" applyFill="1" applyBorder="1" applyAlignment="1">
      <alignment wrapText="1"/>
    </xf>
    <xf numFmtId="0" fontId="0" fillId="0" borderId="18" xfId="0" applyFill="1" applyBorder="1" applyAlignment="1">
      <alignment wrapText="1"/>
    </xf>
    <xf numFmtId="0" fontId="0" fillId="0" borderId="19" xfId="0" applyFill="1" applyBorder="1" applyAlignment="1">
      <alignment wrapText="1"/>
    </xf>
    <xf numFmtId="0" fontId="0" fillId="0" borderId="20" xfId="0" applyFill="1" applyBorder="1" applyAlignment="1">
      <alignment wrapText="1"/>
    </xf>
    <xf numFmtId="0" fontId="0" fillId="0" borderId="21" xfId="0" applyFill="1" applyBorder="1" applyAlignment="1">
      <alignment wrapText="1"/>
    </xf>
    <xf numFmtId="0" fontId="0" fillId="0" borderId="19" xfId="0" applyFill="1" applyBorder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x.doi.org/10.1007/s10811-013-0167-4" TargetMode="External"/><Relationship Id="rId2" Type="http://schemas.openxmlformats.org/officeDocument/2006/relationships/hyperlink" Target="https://dx.doi.org/10.1111/j.1523-1739.2012.01928.x" TargetMode="External"/><Relationship Id="rId1" Type="http://schemas.openxmlformats.org/officeDocument/2006/relationships/hyperlink" Target="https://dx.doi.org/10.1890/06-1285.1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dx.doi.org/10.3856/vol45-issue2-fulltext-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52B3-DC8D-4372-9EDB-6D4DBC32B775}">
  <dimension ref="A1:AM790"/>
  <sheetViews>
    <sheetView zoomScale="47" zoomScaleNormal="40" workbookViewId="0">
      <pane ySplit="2" topLeftCell="A3" activePane="bottomLeft" state="frozen"/>
      <selection activeCell="I1" sqref="I1"/>
      <selection pane="bottomLeft" activeCell="T13" sqref="T13"/>
    </sheetView>
  </sheetViews>
  <sheetFormatPr defaultRowHeight="15" customHeight="1"/>
  <cols>
    <col min="1" max="1" width="12.453125" customWidth="1"/>
    <col min="2" max="2" width="15" customWidth="1"/>
    <col min="3" max="3" width="10.26953125" style="24" customWidth="1"/>
    <col min="4" max="4" width="21.1796875" customWidth="1"/>
    <col min="5" max="5" width="24.453125" bestFit="1" customWidth="1"/>
    <col min="6" max="7" width="14.26953125" customWidth="1"/>
    <col min="8" max="8" width="27.7265625" customWidth="1"/>
    <col min="9" max="9" width="19" customWidth="1"/>
    <col min="10" max="10" width="11.54296875" customWidth="1"/>
    <col min="11" max="12" width="14.54296875" customWidth="1"/>
    <col min="13" max="13" width="11.1796875" style="1" customWidth="1"/>
    <col min="14" max="14" width="22.26953125" style="39" customWidth="1"/>
    <col min="15" max="15" width="18.81640625" customWidth="1"/>
    <col min="16" max="16" width="25.1796875" style="39" customWidth="1"/>
    <col min="17" max="17" width="12.81640625" customWidth="1"/>
    <col min="18" max="18" width="24.26953125" customWidth="1"/>
    <col min="19" max="19" width="23.26953125" customWidth="1"/>
    <col min="20" max="20" width="17.1796875" customWidth="1"/>
    <col min="21" max="22" width="14.81640625" customWidth="1"/>
    <col min="23" max="23" width="14.81640625" style="8" customWidth="1"/>
    <col min="24" max="24" width="22.1796875" customWidth="1"/>
    <col min="25" max="25" width="15" style="8" customWidth="1"/>
    <col min="26" max="26" width="13.81640625" customWidth="1"/>
    <col min="27" max="27" width="37.1796875" customWidth="1"/>
    <col min="28" max="28" width="15" customWidth="1"/>
    <col min="29" max="29" width="16.453125" style="5" customWidth="1"/>
    <col min="30" max="30" width="16.453125" style="1" customWidth="1"/>
    <col min="31" max="31" width="16.453125" style="6" customWidth="1"/>
    <col min="32" max="32" width="13.81640625" customWidth="1"/>
    <col min="33" max="33" width="15.7265625" customWidth="1"/>
    <col min="34" max="34" width="16.453125" style="1" customWidth="1"/>
  </cols>
  <sheetData>
    <row r="1" spans="1:34" s="2" customFormat="1" ht="29.15" customHeight="1">
      <c r="A1" s="66" t="s">
        <v>0</v>
      </c>
      <c r="B1" s="66"/>
      <c r="C1" s="67"/>
      <c r="D1" s="68" t="s">
        <v>1</v>
      </c>
      <c r="E1" s="66"/>
      <c r="F1" s="66"/>
      <c r="G1" s="66"/>
      <c r="H1" s="66"/>
      <c r="I1" s="66"/>
      <c r="J1" s="66"/>
      <c r="K1" s="66"/>
      <c r="L1" s="66"/>
      <c r="M1" s="66"/>
      <c r="N1" s="68" t="s">
        <v>2</v>
      </c>
      <c r="O1" s="69"/>
      <c r="P1" s="69"/>
      <c r="Q1" s="69"/>
      <c r="R1" s="69"/>
      <c r="S1" s="69"/>
      <c r="T1" s="69"/>
      <c r="U1" s="69"/>
      <c r="V1" s="70"/>
      <c r="W1" s="71" t="s">
        <v>3</v>
      </c>
      <c r="X1" s="67"/>
      <c r="Y1" s="68" t="s">
        <v>4</v>
      </c>
      <c r="Z1" s="66"/>
      <c r="AA1" s="66"/>
      <c r="AB1" s="67"/>
      <c r="AC1" s="68" t="s">
        <v>5</v>
      </c>
      <c r="AD1" s="66"/>
      <c r="AE1" s="66"/>
      <c r="AF1" s="66"/>
      <c r="AG1" s="66"/>
      <c r="AH1" s="66"/>
    </row>
    <row r="2" spans="1:34" s="60" customFormat="1" ht="43.5">
      <c r="A2" s="60" t="s">
        <v>6</v>
      </c>
      <c r="B2" s="60" t="s">
        <v>7</v>
      </c>
      <c r="C2" s="61" t="s">
        <v>8</v>
      </c>
      <c r="D2" s="60" t="s">
        <v>9</v>
      </c>
      <c r="E2" s="60" t="s">
        <v>10</v>
      </c>
      <c r="F2" s="60" t="s">
        <v>11</v>
      </c>
      <c r="G2" s="60" t="s">
        <v>12</v>
      </c>
      <c r="H2" s="60" t="s">
        <v>13</v>
      </c>
      <c r="I2" s="60" t="s">
        <v>13</v>
      </c>
      <c r="J2" s="60" t="s">
        <v>13</v>
      </c>
      <c r="K2" s="60" t="s">
        <v>14</v>
      </c>
      <c r="L2" s="60" t="s">
        <v>15</v>
      </c>
      <c r="M2" s="62" t="s">
        <v>15</v>
      </c>
      <c r="N2" s="60" t="s">
        <v>16</v>
      </c>
      <c r="O2" s="60" t="s">
        <v>17</v>
      </c>
      <c r="P2" s="60" t="s">
        <v>18</v>
      </c>
      <c r="Q2" s="60" t="s">
        <v>19</v>
      </c>
      <c r="R2" s="60" t="s">
        <v>20</v>
      </c>
      <c r="S2" s="60" t="s">
        <v>2526</v>
      </c>
      <c r="T2" s="60" t="s">
        <v>21</v>
      </c>
      <c r="U2" s="60" t="s">
        <v>22</v>
      </c>
      <c r="V2" s="60" t="s">
        <v>23</v>
      </c>
      <c r="W2" s="63" t="s">
        <v>24</v>
      </c>
      <c r="X2" s="60" t="s">
        <v>25</v>
      </c>
      <c r="Y2" s="63" t="s">
        <v>26</v>
      </c>
      <c r="Z2" s="60" t="s">
        <v>27</v>
      </c>
      <c r="AA2" s="60" t="s">
        <v>28</v>
      </c>
      <c r="AB2" s="60" t="s">
        <v>29</v>
      </c>
      <c r="AC2" s="64" t="s">
        <v>30</v>
      </c>
      <c r="AD2" s="62" t="s">
        <v>31</v>
      </c>
      <c r="AE2" s="65" t="s">
        <v>32</v>
      </c>
      <c r="AF2" s="60" t="s">
        <v>33</v>
      </c>
      <c r="AG2" s="60" t="s">
        <v>34</v>
      </c>
      <c r="AH2" s="62" t="s">
        <v>35</v>
      </c>
    </row>
    <row r="3" spans="1:34" ht="29.25" customHeight="1">
      <c r="A3" t="s">
        <v>36</v>
      </c>
      <c r="B3" t="s">
        <v>37</v>
      </c>
      <c r="C3" s="24">
        <v>1</v>
      </c>
      <c r="D3" t="s">
        <v>38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42</v>
      </c>
      <c r="K3" t="s">
        <v>42</v>
      </c>
      <c r="L3" t="s">
        <v>42</v>
      </c>
      <c r="M3" s="1" t="s">
        <v>42</v>
      </c>
      <c r="N3" s="39" t="s">
        <v>43</v>
      </c>
      <c r="O3" t="s">
        <v>44</v>
      </c>
      <c r="P3" s="39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42</v>
      </c>
      <c r="V3" t="s">
        <v>42</v>
      </c>
      <c r="W3" s="8" t="s">
        <v>50</v>
      </c>
      <c r="X3" s="2" t="s">
        <v>51</v>
      </c>
      <c r="Y3" s="8">
        <v>1</v>
      </c>
      <c r="Z3">
        <v>1</v>
      </c>
      <c r="AA3">
        <v>0</v>
      </c>
      <c r="AB3">
        <v>0</v>
      </c>
      <c r="AC3" s="5">
        <v>1981</v>
      </c>
      <c r="AD3" s="1">
        <v>2002</v>
      </c>
      <c r="AE3" s="6">
        <f>AD3-AC3</f>
        <v>21</v>
      </c>
      <c r="AF3">
        <v>22</v>
      </c>
      <c r="AG3" t="s">
        <v>50</v>
      </c>
      <c r="AH3" s="1" t="s">
        <v>50</v>
      </c>
    </row>
    <row r="4" spans="1:34" ht="14.5">
      <c r="A4" t="s">
        <v>36</v>
      </c>
      <c r="B4" t="s">
        <v>37</v>
      </c>
      <c r="C4" s="24">
        <v>2</v>
      </c>
      <c r="D4" t="s">
        <v>38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42</v>
      </c>
      <c r="K4" t="s">
        <v>42</v>
      </c>
      <c r="L4" t="s">
        <v>42</v>
      </c>
      <c r="M4" s="1" t="s">
        <v>42</v>
      </c>
      <c r="N4" s="39" t="s">
        <v>52</v>
      </c>
      <c r="O4" t="s">
        <v>44</v>
      </c>
      <c r="P4" s="39" t="s">
        <v>53</v>
      </c>
      <c r="Q4" t="s">
        <v>46</v>
      </c>
      <c r="R4" t="s">
        <v>47</v>
      </c>
      <c r="S4" t="s">
        <v>54</v>
      </c>
      <c r="T4" t="s">
        <v>55</v>
      </c>
      <c r="U4" t="s">
        <v>42</v>
      </c>
      <c r="V4" t="s">
        <v>42</v>
      </c>
      <c r="W4" s="8" t="s">
        <v>50</v>
      </c>
      <c r="X4" t="s">
        <v>56</v>
      </c>
      <c r="Y4" s="8">
        <v>1</v>
      </c>
      <c r="Z4">
        <v>1</v>
      </c>
      <c r="AA4">
        <v>0</v>
      </c>
      <c r="AB4">
        <v>0</v>
      </c>
      <c r="AC4" s="5">
        <v>1981</v>
      </c>
      <c r="AD4" s="1">
        <v>2002</v>
      </c>
      <c r="AE4" s="6">
        <f>AD4-AC4</f>
        <v>21</v>
      </c>
      <c r="AF4">
        <v>22</v>
      </c>
      <c r="AG4" t="s">
        <v>50</v>
      </c>
      <c r="AH4" s="1" t="s">
        <v>50</v>
      </c>
    </row>
    <row r="5" spans="1:34" ht="14.5">
      <c r="A5" t="s">
        <v>36</v>
      </c>
      <c r="B5" t="s">
        <v>37</v>
      </c>
      <c r="C5" s="24">
        <v>3</v>
      </c>
      <c r="D5" t="s">
        <v>38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42</v>
      </c>
      <c r="K5" t="s">
        <v>42</v>
      </c>
      <c r="L5" t="s">
        <v>42</v>
      </c>
      <c r="M5" s="1" t="s">
        <v>42</v>
      </c>
      <c r="N5" s="39" t="s">
        <v>57</v>
      </c>
      <c r="O5" t="s">
        <v>44</v>
      </c>
      <c r="P5" s="39" t="s">
        <v>58</v>
      </c>
      <c r="Q5" t="s">
        <v>46</v>
      </c>
      <c r="R5" t="s">
        <v>47</v>
      </c>
      <c r="S5" t="s">
        <v>59</v>
      </c>
      <c r="T5" t="s">
        <v>55</v>
      </c>
      <c r="U5" t="s">
        <v>42</v>
      </c>
      <c r="V5" t="s">
        <v>42</v>
      </c>
      <c r="W5" s="8" t="s">
        <v>50</v>
      </c>
      <c r="X5" t="s">
        <v>56</v>
      </c>
      <c r="Y5" s="8">
        <v>1</v>
      </c>
      <c r="Z5">
        <v>1</v>
      </c>
      <c r="AA5">
        <v>0</v>
      </c>
      <c r="AB5">
        <v>0</v>
      </c>
      <c r="AC5" s="5">
        <v>1981</v>
      </c>
      <c r="AD5" s="1">
        <v>2002</v>
      </c>
      <c r="AE5" s="6">
        <f>AD5-AC5</f>
        <v>21</v>
      </c>
      <c r="AF5">
        <v>22</v>
      </c>
      <c r="AG5" t="s">
        <v>50</v>
      </c>
      <c r="AH5" s="1" t="s">
        <v>50</v>
      </c>
    </row>
    <row r="6" spans="1:34" s="9" customFormat="1" ht="14.5">
      <c r="A6" s="9" t="s">
        <v>36</v>
      </c>
      <c r="B6" s="9" t="s">
        <v>37</v>
      </c>
      <c r="C6" s="25">
        <v>4</v>
      </c>
      <c r="D6" s="9" t="s">
        <v>38</v>
      </c>
      <c r="E6" s="9" t="s">
        <v>38</v>
      </c>
      <c r="F6" s="9" t="s">
        <v>39</v>
      </c>
      <c r="G6" s="9" t="s">
        <v>40</v>
      </c>
      <c r="H6" s="9" t="s">
        <v>41</v>
      </c>
      <c r="I6" s="9" t="s">
        <v>42</v>
      </c>
      <c r="J6" s="9" t="s">
        <v>42</v>
      </c>
      <c r="K6" s="9" t="s">
        <v>42</v>
      </c>
      <c r="L6" s="9" t="s">
        <v>42</v>
      </c>
      <c r="M6" s="10" t="s">
        <v>42</v>
      </c>
      <c r="N6" s="40" t="s">
        <v>60</v>
      </c>
      <c r="O6" s="9" t="s">
        <v>44</v>
      </c>
      <c r="P6" s="40" t="s">
        <v>61</v>
      </c>
      <c r="Q6" s="9" t="s">
        <v>46</v>
      </c>
      <c r="R6" s="9" t="s">
        <v>47</v>
      </c>
      <c r="S6" s="9" t="s">
        <v>42</v>
      </c>
      <c r="T6" s="9" t="s">
        <v>62</v>
      </c>
      <c r="U6" s="9" t="s">
        <v>42</v>
      </c>
      <c r="V6" s="9" t="s">
        <v>42</v>
      </c>
      <c r="W6" s="11" t="s">
        <v>50</v>
      </c>
      <c r="X6" s="9" t="s">
        <v>63</v>
      </c>
      <c r="Y6" s="11">
        <v>1</v>
      </c>
      <c r="Z6" s="9">
        <v>1</v>
      </c>
      <c r="AA6" s="9">
        <v>0</v>
      </c>
      <c r="AB6" s="9">
        <v>0</v>
      </c>
      <c r="AC6" s="12">
        <v>1983</v>
      </c>
      <c r="AD6" s="10">
        <v>2002</v>
      </c>
      <c r="AE6" s="13">
        <f>AD6-AC6</f>
        <v>19</v>
      </c>
      <c r="AF6" s="9">
        <v>20</v>
      </c>
      <c r="AG6" s="9" t="s">
        <v>64</v>
      </c>
      <c r="AH6" s="10" t="s">
        <v>64</v>
      </c>
    </row>
    <row r="7" spans="1:34" ht="14.5">
      <c r="A7" t="s">
        <v>65</v>
      </c>
      <c r="B7" t="s">
        <v>66</v>
      </c>
      <c r="C7" s="24">
        <v>1</v>
      </c>
      <c r="D7" t="s">
        <v>38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42</v>
      </c>
      <c r="K7" t="s">
        <v>42</v>
      </c>
      <c r="L7" t="s">
        <v>42</v>
      </c>
      <c r="M7" s="1" t="s">
        <v>42</v>
      </c>
      <c r="N7" s="39" t="s">
        <v>52</v>
      </c>
      <c r="O7" t="s">
        <v>44</v>
      </c>
      <c r="P7" s="39" t="s">
        <v>67</v>
      </c>
      <c r="Q7" t="s">
        <v>46</v>
      </c>
      <c r="R7" t="s">
        <v>68</v>
      </c>
      <c r="S7" t="s">
        <v>69</v>
      </c>
      <c r="T7" t="s">
        <v>70</v>
      </c>
      <c r="U7" t="s">
        <v>42</v>
      </c>
      <c r="V7" t="s">
        <v>42</v>
      </c>
      <c r="W7" s="8" t="s">
        <v>50</v>
      </c>
      <c r="X7" t="s">
        <v>71</v>
      </c>
      <c r="Y7" s="8">
        <v>1</v>
      </c>
      <c r="Z7">
        <v>7</v>
      </c>
      <c r="AA7">
        <v>6</v>
      </c>
      <c r="AB7">
        <v>0</v>
      </c>
      <c r="AC7" s="5">
        <v>2009</v>
      </c>
      <c r="AD7" s="1">
        <v>2009</v>
      </c>
      <c r="AE7" s="6" t="s">
        <v>72</v>
      </c>
      <c r="AF7">
        <v>1</v>
      </c>
      <c r="AG7" t="s">
        <v>64</v>
      </c>
      <c r="AH7" s="1" t="s">
        <v>64</v>
      </c>
    </row>
    <row r="8" spans="1:34" ht="14.5">
      <c r="A8" t="s">
        <v>65</v>
      </c>
      <c r="B8" t="s">
        <v>66</v>
      </c>
      <c r="C8" s="24">
        <v>2</v>
      </c>
      <c r="D8" t="s">
        <v>38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42</v>
      </c>
      <c r="K8" t="s">
        <v>42</v>
      </c>
      <c r="L8" t="s">
        <v>42</v>
      </c>
      <c r="M8" s="1" t="s">
        <v>42</v>
      </c>
      <c r="N8" s="39" t="s">
        <v>43</v>
      </c>
      <c r="O8" t="s">
        <v>44</v>
      </c>
      <c r="P8" s="39" t="s">
        <v>73</v>
      </c>
      <c r="Q8" t="s">
        <v>46</v>
      </c>
      <c r="R8" t="s">
        <v>68</v>
      </c>
      <c r="S8" t="s">
        <v>48</v>
      </c>
      <c r="T8" t="s">
        <v>42</v>
      </c>
      <c r="U8" t="s">
        <v>42</v>
      </c>
      <c r="V8" t="s">
        <v>42</v>
      </c>
      <c r="W8" s="8" t="s">
        <v>50</v>
      </c>
      <c r="X8" t="s">
        <v>71</v>
      </c>
      <c r="Y8" s="8">
        <v>1</v>
      </c>
      <c r="Z8">
        <v>7</v>
      </c>
      <c r="AA8">
        <v>6</v>
      </c>
      <c r="AB8">
        <v>0</v>
      </c>
      <c r="AC8" s="5">
        <v>2009</v>
      </c>
      <c r="AD8" s="1">
        <v>2009</v>
      </c>
      <c r="AE8" s="6" t="s">
        <v>72</v>
      </c>
      <c r="AF8">
        <v>1</v>
      </c>
      <c r="AG8" t="s">
        <v>64</v>
      </c>
      <c r="AH8" s="1" t="s">
        <v>64</v>
      </c>
    </row>
    <row r="9" spans="1:34" ht="14.5">
      <c r="A9" t="s">
        <v>65</v>
      </c>
      <c r="B9" t="s">
        <v>66</v>
      </c>
      <c r="C9" s="24">
        <v>3</v>
      </c>
      <c r="D9" t="s">
        <v>38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42</v>
      </c>
      <c r="K9" t="s">
        <v>42</v>
      </c>
      <c r="L9" t="s">
        <v>42</v>
      </c>
      <c r="M9" s="1" t="s">
        <v>42</v>
      </c>
      <c r="N9" s="39" t="s">
        <v>57</v>
      </c>
      <c r="O9" t="s">
        <v>44</v>
      </c>
      <c r="P9" s="39" t="s">
        <v>74</v>
      </c>
      <c r="Q9" t="s">
        <v>75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s="8" t="s">
        <v>50</v>
      </c>
      <c r="X9" t="s">
        <v>71</v>
      </c>
      <c r="Y9" s="8">
        <v>1</v>
      </c>
      <c r="Z9">
        <v>7</v>
      </c>
      <c r="AA9">
        <v>6</v>
      </c>
      <c r="AB9">
        <v>0</v>
      </c>
      <c r="AC9" s="5">
        <v>2009</v>
      </c>
      <c r="AD9" s="1">
        <v>2009</v>
      </c>
      <c r="AE9" s="6" t="s">
        <v>72</v>
      </c>
      <c r="AF9">
        <v>1</v>
      </c>
      <c r="AG9" t="s">
        <v>64</v>
      </c>
      <c r="AH9" s="1" t="s">
        <v>64</v>
      </c>
    </row>
    <row r="10" spans="1:34" ht="14.5">
      <c r="A10" t="s">
        <v>65</v>
      </c>
      <c r="B10" t="s">
        <v>66</v>
      </c>
      <c r="C10" s="24">
        <v>4</v>
      </c>
      <c r="D10" t="s">
        <v>38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42</v>
      </c>
      <c r="K10" t="s">
        <v>42</v>
      </c>
      <c r="L10" t="s">
        <v>42</v>
      </c>
      <c r="M10" s="1" t="s">
        <v>42</v>
      </c>
      <c r="N10" s="39" t="s">
        <v>52</v>
      </c>
      <c r="O10" t="s">
        <v>44</v>
      </c>
      <c r="P10" s="39" t="s">
        <v>67</v>
      </c>
      <c r="Q10" t="s">
        <v>75</v>
      </c>
      <c r="R10" t="s">
        <v>42</v>
      </c>
      <c r="S10" t="s">
        <v>76</v>
      </c>
      <c r="T10" t="s">
        <v>42</v>
      </c>
      <c r="U10" t="s">
        <v>42</v>
      </c>
      <c r="V10" t="s">
        <v>42</v>
      </c>
      <c r="W10" s="8" t="s">
        <v>50</v>
      </c>
      <c r="X10" t="s">
        <v>71</v>
      </c>
      <c r="Y10" s="8">
        <v>1</v>
      </c>
      <c r="Z10">
        <v>7</v>
      </c>
      <c r="AA10">
        <v>6</v>
      </c>
      <c r="AB10">
        <v>0</v>
      </c>
      <c r="AC10" s="5">
        <v>2009</v>
      </c>
      <c r="AD10" s="1">
        <v>2009</v>
      </c>
      <c r="AE10" s="6" t="s">
        <v>72</v>
      </c>
      <c r="AF10">
        <v>1</v>
      </c>
      <c r="AG10" t="s">
        <v>64</v>
      </c>
      <c r="AH10" s="1" t="s">
        <v>64</v>
      </c>
    </row>
    <row r="11" spans="1:34" ht="14.5">
      <c r="A11" t="s">
        <v>65</v>
      </c>
      <c r="B11" t="s">
        <v>66</v>
      </c>
      <c r="C11" s="24">
        <v>5</v>
      </c>
      <c r="D11" t="s">
        <v>38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42</v>
      </c>
      <c r="K11" t="s">
        <v>42</v>
      </c>
      <c r="L11" t="s">
        <v>42</v>
      </c>
      <c r="M11" s="1" t="s">
        <v>42</v>
      </c>
      <c r="N11" s="39" t="s">
        <v>57</v>
      </c>
      <c r="O11" t="s">
        <v>44</v>
      </c>
      <c r="P11" s="39" t="s">
        <v>74</v>
      </c>
      <c r="Q11" t="s">
        <v>77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s="8" t="s">
        <v>50</v>
      </c>
      <c r="X11" t="s">
        <v>78</v>
      </c>
      <c r="Y11" s="8">
        <v>1</v>
      </c>
      <c r="Z11">
        <v>7</v>
      </c>
      <c r="AA11">
        <v>6</v>
      </c>
      <c r="AB11">
        <v>0</v>
      </c>
      <c r="AC11" s="5">
        <v>2009</v>
      </c>
      <c r="AD11" s="1">
        <v>2009</v>
      </c>
      <c r="AE11" s="6" t="s">
        <v>72</v>
      </c>
      <c r="AF11">
        <v>1</v>
      </c>
      <c r="AG11" t="s">
        <v>64</v>
      </c>
      <c r="AH11" s="1" t="s">
        <v>64</v>
      </c>
    </row>
    <row r="12" spans="1:34" ht="14.5">
      <c r="A12" t="s">
        <v>65</v>
      </c>
      <c r="B12" t="s">
        <v>66</v>
      </c>
      <c r="C12" s="24">
        <v>6</v>
      </c>
      <c r="D12" t="s">
        <v>38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42</v>
      </c>
      <c r="K12" t="s">
        <v>42</v>
      </c>
      <c r="L12" t="s">
        <v>42</v>
      </c>
      <c r="M12" s="1" t="s">
        <v>42</v>
      </c>
      <c r="N12" s="39" t="s">
        <v>52</v>
      </c>
      <c r="O12" t="s">
        <v>44</v>
      </c>
      <c r="P12" s="39" t="s">
        <v>67</v>
      </c>
      <c r="Q12" t="s">
        <v>77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s="8" t="s">
        <v>50</v>
      </c>
      <c r="X12" t="s">
        <v>78</v>
      </c>
      <c r="Y12" s="8">
        <v>1</v>
      </c>
      <c r="Z12">
        <v>7</v>
      </c>
      <c r="AA12">
        <v>6</v>
      </c>
      <c r="AB12">
        <v>0</v>
      </c>
      <c r="AC12" s="5">
        <v>2009</v>
      </c>
      <c r="AD12" s="1">
        <v>2009</v>
      </c>
      <c r="AE12" s="6" t="s">
        <v>72</v>
      </c>
      <c r="AF12">
        <v>1</v>
      </c>
      <c r="AG12" t="s">
        <v>64</v>
      </c>
      <c r="AH12" s="1" t="s">
        <v>64</v>
      </c>
    </row>
    <row r="13" spans="1:34" s="9" customFormat="1" ht="14.5">
      <c r="A13" s="9" t="s">
        <v>65</v>
      </c>
      <c r="B13" s="9" t="s">
        <v>66</v>
      </c>
      <c r="C13" s="25">
        <v>7</v>
      </c>
      <c r="D13" s="9" t="s">
        <v>38</v>
      </c>
      <c r="E13" s="9" t="s">
        <v>38</v>
      </c>
      <c r="F13" s="9" t="s">
        <v>39</v>
      </c>
      <c r="G13" s="9" t="s">
        <v>40</v>
      </c>
      <c r="H13" s="9" t="s">
        <v>41</v>
      </c>
      <c r="I13" s="9" t="s">
        <v>42</v>
      </c>
      <c r="J13" s="9" t="s">
        <v>42</v>
      </c>
      <c r="K13" s="9" t="s">
        <v>42</v>
      </c>
      <c r="L13" s="9" t="s">
        <v>42</v>
      </c>
      <c r="M13" s="10" t="s">
        <v>42</v>
      </c>
      <c r="N13" s="40" t="s">
        <v>79</v>
      </c>
      <c r="O13" s="9" t="s">
        <v>44</v>
      </c>
      <c r="P13" s="40" t="s">
        <v>80</v>
      </c>
      <c r="Q13" s="9" t="s">
        <v>75</v>
      </c>
      <c r="R13" s="9" t="s">
        <v>42</v>
      </c>
      <c r="S13" s="9" t="s">
        <v>71</v>
      </c>
      <c r="T13" s="9" t="s">
        <v>42</v>
      </c>
      <c r="U13" s="9" t="s">
        <v>42</v>
      </c>
      <c r="V13" s="9" t="s">
        <v>42</v>
      </c>
      <c r="W13" s="11" t="s">
        <v>50</v>
      </c>
      <c r="X13" s="9" t="s">
        <v>71</v>
      </c>
      <c r="Y13" s="11">
        <v>1</v>
      </c>
      <c r="Z13" s="9">
        <v>7</v>
      </c>
      <c r="AA13" s="9">
        <v>6</v>
      </c>
      <c r="AB13" s="9">
        <v>0</v>
      </c>
      <c r="AC13" s="12">
        <v>2009</v>
      </c>
      <c r="AD13" s="10">
        <v>2009</v>
      </c>
      <c r="AE13" s="13" t="s">
        <v>72</v>
      </c>
      <c r="AF13" s="9">
        <v>1</v>
      </c>
      <c r="AG13" s="9" t="s">
        <v>64</v>
      </c>
      <c r="AH13" s="10" t="s">
        <v>64</v>
      </c>
    </row>
    <row r="14" spans="1:34" ht="14.5">
      <c r="A14" t="s">
        <v>81</v>
      </c>
      <c r="B14" t="s">
        <v>82</v>
      </c>
      <c r="C14" s="24">
        <v>1</v>
      </c>
      <c r="D14" t="s">
        <v>38</v>
      </c>
      <c r="E14" t="s">
        <v>38</v>
      </c>
      <c r="F14" t="s">
        <v>39</v>
      </c>
      <c r="G14" t="s">
        <v>40</v>
      </c>
      <c r="H14" t="s">
        <v>41</v>
      </c>
      <c r="I14" t="s">
        <v>42</v>
      </c>
      <c r="J14" t="s">
        <v>42</v>
      </c>
      <c r="K14" t="s">
        <v>42</v>
      </c>
      <c r="L14" t="s">
        <v>42</v>
      </c>
      <c r="M14" s="1" t="s">
        <v>42</v>
      </c>
      <c r="N14" s="39" t="s">
        <v>52</v>
      </c>
      <c r="O14" t="s">
        <v>44</v>
      </c>
      <c r="P14" s="39" t="s">
        <v>67</v>
      </c>
      <c r="Q14" t="s">
        <v>46</v>
      </c>
      <c r="R14" t="s">
        <v>83</v>
      </c>
      <c r="S14" t="s">
        <v>69</v>
      </c>
      <c r="T14" t="s">
        <v>84</v>
      </c>
      <c r="U14" t="s">
        <v>42</v>
      </c>
      <c r="V14" t="s">
        <v>42</v>
      </c>
      <c r="W14" s="8" t="s">
        <v>50</v>
      </c>
      <c r="X14" t="s">
        <v>85</v>
      </c>
      <c r="Y14" s="8">
        <v>2</v>
      </c>
      <c r="Z14">
        <v>4</v>
      </c>
      <c r="AA14">
        <v>0</v>
      </c>
      <c r="AB14">
        <v>4</v>
      </c>
      <c r="AC14" s="5">
        <v>2006</v>
      </c>
      <c r="AD14" s="1">
        <v>2008</v>
      </c>
      <c r="AE14" s="6">
        <f t="shared" ref="AE14:AE38" si="0">AD14-AC14</f>
        <v>2</v>
      </c>
      <c r="AF14">
        <v>9</v>
      </c>
      <c r="AG14" t="s">
        <v>64</v>
      </c>
      <c r="AH14" s="1" t="s">
        <v>64</v>
      </c>
    </row>
    <row r="15" spans="1:34" ht="14.5">
      <c r="A15" t="s">
        <v>81</v>
      </c>
      <c r="B15" t="s">
        <v>82</v>
      </c>
      <c r="C15" s="24">
        <v>2</v>
      </c>
      <c r="D15" t="s">
        <v>38</v>
      </c>
      <c r="E15" t="s">
        <v>38</v>
      </c>
      <c r="F15" t="s">
        <v>39</v>
      </c>
      <c r="G15" t="s">
        <v>40</v>
      </c>
      <c r="H15" t="s">
        <v>41</v>
      </c>
      <c r="I15" t="s">
        <v>42</v>
      </c>
      <c r="J15" t="s">
        <v>42</v>
      </c>
      <c r="K15" t="s">
        <v>42</v>
      </c>
      <c r="L15" t="s">
        <v>42</v>
      </c>
      <c r="M15" s="1" t="s">
        <v>42</v>
      </c>
      <c r="N15" s="39" t="s">
        <v>57</v>
      </c>
      <c r="O15" t="s">
        <v>44</v>
      </c>
      <c r="P15" s="39" t="s">
        <v>57</v>
      </c>
      <c r="Q15" t="s">
        <v>46</v>
      </c>
      <c r="R15" t="s">
        <v>83</v>
      </c>
      <c r="S15" t="s">
        <v>59</v>
      </c>
      <c r="T15" t="s">
        <v>62</v>
      </c>
      <c r="U15" t="s">
        <v>42</v>
      </c>
      <c r="V15" t="s">
        <v>42</v>
      </c>
      <c r="W15" s="8" t="s">
        <v>50</v>
      </c>
      <c r="X15" t="s">
        <v>85</v>
      </c>
      <c r="Y15" s="8">
        <v>2</v>
      </c>
      <c r="Z15">
        <v>4</v>
      </c>
      <c r="AA15">
        <v>0</v>
      </c>
      <c r="AB15">
        <v>4</v>
      </c>
      <c r="AC15" s="5">
        <v>2006</v>
      </c>
      <c r="AD15" s="1">
        <v>2008</v>
      </c>
      <c r="AE15" s="6">
        <f t="shared" si="0"/>
        <v>2</v>
      </c>
      <c r="AF15">
        <v>9</v>
      </c>
      <c r="AG15" t="s">
        <v>64</v>
      </c>
      <c r="AH15" s="1" t="s">
        <v>64</v>
      </c>
    </row>
    <row r="16" spans="1:34" ht="14.5">
      <c r="A16" t="s">
        <v>81</v>
      </c>
      <c r="B16" t="s">
        <v>82</v>
      </c>
      <c r="C16" s="24">
        <v>3</v>
      </c>
      <c r="D16" t="s">
        <v>38</v>
      </c>
      <c r="E16" t="s">
        <v>38</v>
      </c>
      <c r="F16" t="s">
        <v>39</v>
      </c>
      <c r="G16" t="s">
        <v>40</v>
      </c>
      <c r="H16" t="s">
        <v>41</v>
      </c>
      <c r="I16" t="s">
        <v>42</v>
      </c>
      <c r="J16" t="s">
        <v>42</v>
      </c>
      <c r="K16" t="s">
        <v>42</v>
      </c>
      <c r="L16" t="s">
        <v>42</v>
      </c>
      <c r="M16" s="1" t="s">
        <v>42</v>
      </c>
      <c r="N16" s="39" t="s">
        <v>43</v>
      </c>
      <c r="O16" t="s">
        <v>86</v>
      </c>
      <c r="P16" s="39" t="s">
        <v>73</v>
      </c>
      <c r="Q16" t="s">
        <v>46</v>
      </c>
      <c r="R16" t="s">
        <v>83</v>
      </c>
      <c r="S16" t="s">
        <v>48</v>
      </c>
      <c r="T16" t="s">
        <v>84</v>
      </c>
      <c r="U16" t="s">
        <v>42</v>
      </c>
      <c r="V16" t="s">
        <v>42</v>
      </c>
      <c r="W16" s="8" t="s">
        <v>50</v>
      </c>
      <c r="X16" t="s">
        <v>85</v>
      </c>
      <c r="Y16" s="8">
        <v>2</v>
      </c>
      <c r="Z16">
        <v>4</v>
      </c>
      <c r="AA16">
        <v>0</v>
      </c>
      <c r="AB16">
        <v>4</v>
      </c>
      <c r="AC16" s="5">
        <v>2006</v>
      </c>
      <c r="AD16" s="1">
        <v>2008</v>
      </c>
      <c r="AE16" s="6">
        <f t="shared" si="0"/>
        <v>2</v>
      </c>
      <c r="AF16">
        <v>9</v>
      </c>
      <c r="AG16" t="s">
        <v>64</v>
      </c>
      <c r="AH16" s="1" t="s">
        <v>64</v>
      </c>
    </row>
    <row r="17" spans="1:34" s="9" customFormat="1" ht="14.5">
      <c r="A17" s="9" t="s">
        <v>81</v>
      </c>
      <c r="B17" s="9" t="s">
        <v>82</v>
      </c>
      <c r="C17" s="25">
        <v>4</v>
      </c>
      <c r="D17" s="9" t="s">
        <v>38</v>
      </c>
      <c r="E17" s="9" t="s">
        <v>38</v>
      </c>
      <c r="F17" s="9" t="s">
        <v>39</v>
      </c>
      <c r="G17" s="9" t="s">
        <v>40</v>
      </c>
      <c r="H17" s="9" t="s">
        <v>41</v>
      </c>
      <c r="I17" s="9" t="s">
        <v>42</v>
      </c>
      <c r="J17" s="9" t="s">
        <v>42</v>
      </c>
      <c r="K17" s="9" t="s">
        <v>42</v>
      </c>
      <c r="L17" s="9" t="s">
        <v>42</v>
      </c>
      <c r="M17" s="10" t="s">
        <v>42</v>
      </c>
      <c r="N17" s="40" t="s">
        <v>43</v>
      </c>
      <c r="O17" s="9" t="s">
        <v>86</v>
      </c>
      <c r="P17" s="40" t="s">
        <v>87</v>
      </c>
      <c r="Q17" s="9" t="s">
        <v>46</v>
      </c>
      <c r="R17" s="9" t="s">
        <v>83</v>
      </c>
      <c r="S17" s="9" t="s">
        <v>88</v>
      </c>
      <c r="T17" s="9" t="s">
        <v>62</v>
      </c>
      <c r="U17" s="9" t="s">
        <v>42</v>
      </c>
      <c r="V17" s="9" t="s">
        <v>42</v>
      </c>
      <c r="W17" s="11" t="s">
        <v>64</v>
      </c>
      <c r="X17" s="9" t="s">
        <v>42</v>
      </c>
      <c r="Y17" s="11">
        <v>2</v>
      </c>
      <c r="Z17" s="9">
        <v>4</v>
      </c>
      <c r="AA17" s="9">
        <v>0</v>
      </c>
      <c r="AB17" s="9">
        <v>4</v>
      </c>
      <c r="AC17" s="12">
        <v>2006</v>
      </c>
      <c r="AD17" s="10">
        <v>2008</v>
      </c>
      <c r="AE17" s="13">
        <f t="shared" si="0"/>
        <v>2</v>
      </c>
      <c r="AF17" s="9">
        <v>9</v>
      </c>
      <c r="AG17" s="9" t="s">
        <v>64</v>
      </c>
      <c r="AH17" s="10" t="s">
        <v>64</v>
      </c>
    </row>
    <row r="18" spans="1:34" ht="14.5">
      <c r="A18" t="s">
        <v>89</v>
      </c>
      <c r="B18" t="s">
        <v>90</v>
      </c>
      <c r="C18" s="24">
        <v>1</v>
      </c>
      <c r="D18" t="s">
        <v>38</v>
      </c>
      <c r="E18" t="s">
        <v>38</v>
      </c>
      <c r="F18" t="s">
        <v>39</v>
      </c>
      <c r="G18" t="s">
        <v>40</v>
      </c>
      <c r="H18" t="s">
        <v>91</v>
      </c>
      <c r="I18" t="s">
        <v>92</v>
      </c>
      <c r="J18" t="s">
        <v>42</v>
      </c>
      <c r="K18" t="s">
        <v>42</v>
      </c>
      <c r="L18" t="s">
        <v>42</v>
      </c>
      <c r="M18" s="1" t="s">
        <v>42</v>
      </c>
      <c r="N18" s="39" t="s">
        <v>43</v>
      </c>
      <c r="O18" t="s">
        <v>44</v>
      </c>
      <c r="P18" s="39" t="s">
        <v>93</v>
      </c>
      <c r="Q18" t="s">
        <v>94</v>
      </c>
      <c r="R18" t="s">
        <v>95</v>
      </c>
      <c r="S18" t="s">
        <v>48</v>
      </c>
      <c r="T18" t="s">
        <v>96</v>
      </c>
      <c r="U18" t="s">
        <v>42</v>
      </c>
      <c r="V18" t="s">
        <v>42</v>
      </c>
      <c r="W18" s="8" t="s">
        <v>50</v>
      </c>
      <c r="X18" t="s">
        <v>85</v>
      </c>
      <c r="Y18" s="8">
        <v>1</v>
      </c>
      <c r="Z18">
        <v>5</v>
      </c>
      <c r="AA18">
        <v>4</v>
      </c>
      <c r="AB18">
        <v>0</v>
      </c>
      <c r="AC18" s="5">
        <v>2012</v>
      </c>
      <c r="AD18" s="1">
        <v>2014</v>
      </c>
      <c r="AE18" s="6">
        <f t="shared" si="0"/>
        <v>2</v>
      </c>
      <c r="AF18">
        <v>1</v>
      </c>
      <c r="AG18" t="s">
        <v>64</v>
      </c>
      <c r="AH18" s="1" t="s">
        <v>64</v>
      </c>
    </row>
    <row r="19" spans="1:34" ht="14.5">
      <c r="A19" t="s">
        <v>89</v>
      </c>
      <c r="B19" t="s">
        <v>90</v>
      </c>
      <c r="C19" s="24">
        <v>2</v>
      </c>
      <c r="D19" t="s">
        <v>38</v>
      </c>
      <c r="E19" t="s">
        <v>38</v>
      </c>
      <c r="F19" t="s">
        <v>39</v>
      </c>
      <c r="G19" t="s">
        <v>40</v>
      </c>
      <c r="H19" t="s">
        <v>91</v>
      </c>
      <c r="I19" t="s">
        <v>92</v>
      </c>
      <c r="J19" t="s">
        <v>42</v>
      </c>
      <c r="K19" t="s">
        <v>42</v>
      </c>
      <c r="L19" t="s">
        <v>42</v>
      </c>
      <c r="M19" s="1" t="s">
        <v>42</v>
      </c>
      <c r="N19" s="39" t="s">
        <v>57</v>
      </c>
      <c r="O19" t="s">
        <v>44</v>
      </c>
      <c r="P19" s="39" t="s">
        <v>97</v>
      </c>
      <c r="Q19" t="s">
        <v>94</v>
      </c>
      <c r="R19" t="s">
        <v>95</v>
      </c>
      <c r="S19" t="s">
        <v>98</v>
      </c>
      <c r="T19" t="s">
        <v>96</v>
      </c>
      <c r="U19" t="s">
        <v>42</v>
      </c>
      <c r="V19" t="s">
        <v>42</v>
      </c>
      <c r="W19" s="8" t="s">
        <v>50</v>
      </c>
      <c r="X19" t="s">
        <v>85</v>
      </c>
      <c r="Y19" s="8">
        <v>1</v>
      </c>
      <c r="Z19">
        <v>5</v>
      </c>
      <c r="AA19">
        <v>4</v>
      </c>
      <c r="AB19">
        <v>0</v>
      </c>
      <c r="AC19" s="5">
        <v>2012</v>
      </c>
      <c r="AD19" s="1">
        <v>2014</v>
      </c>
      <c r="AE19" s="6">
        <f t="shared" si="0"/>
        <v>2</v>
      </c>
      <c r="AF19">
        <v>1</v>
      </c>
      <c r="AG19" t="s">
        <v>64</v>
      </c>
      <c r="AH19" s="1" t="s">
        <v>64</v>
      </c>
    </row>
    <row r="20" spans="1:34" ht="14.5">
      <c r="A20" t="s">
        <v>89</v>
      </c>
      <c r="B20" t="s">
        <v>90</v>
      </c>
      <c r="C20" s="24">
        <v>3</v>
      </c>
      <c r="D20" t="s">
        <v>38</v>
      </c>
      <c r="E20" t="s">
        <v>38</v>
      </c>
      <c r="F20" t="s">
        <v>39</v>
      </c>
      <c r="G20" t="s">
        <v>40</v>
      </c>
      <c r="H20" t="s">
        <v>91</v>
      </c>
      <c r="I20" t="s">
        <v>92</v>
      </c>
      <c r="J20" t="s">
        <v>42</v>
      </c>
      <c r="K20" t="s">
        <v>42</v>
      </c>
      <c r="L20" t="s">
        <v>42</v>
      </c>
      <c r="M20" s="1" t="s">
        <v>42</v>
      </c>
      <c r="N20" s="39" t="s">
        <v>99</v>
      </c>
      <c r="O20" t="s">
        <v>44</v>
      </c>
      <c r="P20" s="39" t="s">
        <v>100</v>
      </c>
      <c r="Q20" t="s">
        <v>94</v>
      </c>
      <c r="R20" t="s">
        <v>95</v>
      </c>
      <c r="S20" t="s">
        <v>101</v>
      </c>
      <c r="T20" t="s">
        <v>96</v>
      </c>
      <c r="U20" t="s">
        <v>42</v>
      </c>
      <c r="V20" t="s">
        <v>42</v>
      </c>
      <c r="W20" s="8" t="s">
        <v>50</v>
      </c>
      <c r="X20" t="s">
        <v>85</v>
      </c>
      <c r="Y20" s="8">
        <v>1</v>
      </c>
      <c r="Z20">
        <v>5</v>
      </c>
      <c r="AA20">
        <v>4</v>
      </c>
      <c r="AB20">
        <v>0</v>
      </c>
      <c r="AC20" s="5">
        <v>2012</v>
      </c>
      <c r="AD20" s="1">
        <v>2014</v>
      </c>
      <c r="AE20" s="6">
        <f t="shared" si="0"/>
        <v>2</v>
      </c>
      <c r="AF20">
        <v>1</v>
      </c>
      <c r="AG20" t="s">
        <v>64</v>
      </c>
      <c r="AH20" s="1" t="s">
        <v>64</v>
      </c>
    </row>
    <row r="21" spans="1:34" ht="14.5">
      <c r="A21" t="s">
        <v>89</v>
      </c>
      <c r="B21" t="s">
        <v>90</v>
      </c>
      <c r="C21" s="24">
        <v>4</v>
      </c>
      <c r="D21" t="s">
        <v>38</v>
      </c>
      <c r="E21" t="s">
        <v>38</v>
      </c>
      <c r="F21" t="s">
        <v>39</v>
      </c>
      <c r="G21" t="s">
        <v>40</v>
      </c>
      <c r="H21" t="s">
        <v>91</v>
      </c>
      <c r="I21" t="s">
        <v>92</v>
      </c>
      <c r="J21" t="s">
        <v>42</v>
      </c>
      <c r="K21" t="s">
        <v>42</v>
      </c>
      <c r="L21" t="s">
        <v>42</v>
      </c>
      <c r="M21" s="1" t="s">
        <v>42</v>
      </c>
      <c r="N21" s="39" t="s">
        <v>43</v>
      </c>
      <c r="O21" t="s">
        <v>44</v>
      </c>
      <c r="P21" s="39" t="s">
        <v>93</v>
      </c>
      <c r="Q21" t="s">
        <v>102</v>
      </c>
      <c r="R21" t="s">
        <v>103</v>
      </c>
      <c r="S21" t="s">
        <v>48</v>
      </c>
      <c r="T21" t="s">
        <v>96</v>
      </c>
      <c r="U21" t="s">
        <v>42</v>
      </c>
      <c r="V21" t="s">
        <v>42</v>
      </c>
      <c r="W21" s="8" t="s">
        <v>50</v>
      </c>
      <c r="X21" t="s">
        <v>85</v>
      </c>
      <c r="Y21" s="8">
        <v>1</v>
      </c>
      <c r="Z21">
        <v>5</v>
      </c>
      <c r="AA21">
        <v>4</v>
      </c>
      <c r="AB21">
        <v>0</v>
      </c>
      <c r="AC21" s="5">
        <v>2012</v>
      </c>
      <c r="AD21" s="1">
        <v>2014</v>
      </c>
      <c r="AE21" s="6">
        <f t="shared" si="0"/>
        <v>2</v>
      </c>
      <c r="AF21">
        <v>1</v>
      </c>
      <c r="AG21" t="s">
        <v>64</v>
      </c>
      <c r="AH21" s="1" t="s">
        <v>64</v>
      </c>
    </row>
    <row r="22" spans="1:34" ht="14.5">
      <c r="A22" t="s">
        <v>89</v>
      </c>
      <c r="B22" t="s">
        <v>90</v>
      </c>
      <c r="C22" s="24">
        <v>5</v>
      </c>
      <c r="D22" t="s">
        <v>38</v>
      </c>
      <c r="E22" t="s">
        <v>38</v>
      </c>
      <c r="F22" t="s">
        <v>39</v>
      </c>
      <c r="G22" t="s">
        <v>40</v>
      </c>
      <c r="H22" t="s">
        <v>91</v>
      </c>
      <c r="I22" t="s">
        <v>92</v>
      </c>
      <c r="J22" t="s">
        <v>42</v>
      </c>
      <c r="K22" t="s">
        <v>42</v>
      </c>
      <c r="L22" t="s">
        <v>42</v>
      </c>
      <c r="M22" s="1" t="s">
        <v>42</v>
      </c>
      <c r="N22" s="39" t="s">
        <v>57</v>
      </c>
      <c r="O22" t="s">
        <v>44</v>
      </c>
      <c r="P22" s="39" t="s">
        <v>97</v>
      </c>
      <c r="Q22" t="s">
        <v>102</v>
      </c>
      <c r="R22" t="s">
        <v>103</v>
      </c>
      <c r="S22" t="s">
        <v>98</v>
      </c>
      <c r="T22" t="s">
        <v>96</v>
      </c>
      <c r="U22" t="s">
        <v>42</v>
      </c>
      <c r="V22" t="s">
        <v>42</v>
      </c>
      <c r="W22" s="8" t="s">
        <v>50</v>
      </c>
      <c r="X22" t="s">
        <v>85</v>
      </c>
      <c r="Y22" s="8">
        <v>1</v>
      </c>
      <c r="Z22">
        <v>5</v>
      </c>
      <c r="AA22">
        <v>4</v>
      </c>
      <c r="AB22">
        <v>0</v>
      </c>
      <c r="AC22" s="5">
        <v>2012</v>
      </c>
      <c r="AD22" s="1">
        <v>2014</v>
      </c>
      <c r="AE22" s="6">
        <f t="shared" si="0"/>
        <v>2</v>
      </c>
      <c r="AF22">
        <v>1</v>
      </c>
      <c r="AG22" t="s">
        <v>64</v>
      </c>
      <c r="AH22" s="1" t="s">
        <v>64</v>
      </c>
    </row>
    <row r="23" spans="1:34" s="9" customFormat="1" ht="14.5">
      <c r="A23" s="9" t="s">
        <v>89</v>
      </c>
      <c r="B23" s="9" t="s">
        <v>90</v>
      </c>
      <c r="C23" s="25">
        <v>6</v>
      </c>
      <c r="D23" s="9" t="s">
        <v>38</v>
      </c>
      <c r="E23" s="9" t="s">
        <v>38</v>
      </c>
      <c r="F23" s="9" t="s">
        <v>39</v>
      </c>
      <c r="G23" s="9" t="s">
        <v>40</v>
      </c>
      <c r="H23" s="9" t="s">
        <v>91</v>
      </c>
      <c r="I23" s="9" t="s">
        <v>92</v>
      </c>
      <c r="J23" s="9" t="s">
        <v>42</v>
      </c>
      <c r="K23" s="9" t="s">
        <v>42</v>
      </c>
      <c r="L23" s="9" t="s">
        <v>42</v>
      </c>
      <c r="M23" s="10" t="s">
        <v>42</v>
      </c>
      <c r="N23" s="40" t="s">
        <v>99</v>
      </c>
      <c r="O23" s="9" t="s">
        <v>44</v>
      </c>
      <c r="P23" s="40" t="s">
        <v>100</v>
      </c>
      <c r="Q23" s="9" t="s">
        <v>102</v>
      </c>
      <c r="R23" s="9" t="s">
        <v>103</v>
      </c>
      <c r="S23" s="9" t="s">
        <v>101</v>
      </c>
      <c r="T23" s="9" t="s">
        <v>96</v>
      </c>
      <c r="U23" s="9" t="s">
        <v>42</v>
      </c>
      <c r="V23" s="9" t="s">
        <v>42</v>
      </c>
      <c r="W23" s="11" t="s">
        <v>50</v>
      </c>
      <c r="X23" s="9" t="s">
        <v>85</v>
      </c>
      <c r="Y23" s="11">
        <v>1</v>
      </c>
      <c r="Z23" s="9">
        <v>5</v>
      </c>
      <c r="AA23" s="9">
        <v>4</v>
      </c>
      <c r="AB23" s="9">
        <v>0</v>
      </c>
      <c r="AC23" s="12">
        <v>2012</v>
      </c>
      <c r="AD23" s="10">
        <v>2014</v>
      </c>
      <c r="AE23" s="13">
        <f t="shared" si="0"/>
        <v>2</v>
      </c>
      <c r="AF23" s="9">
        <v>1</v>
      </c>
      <c r="AG23" s="9" t="s">
        <v>64</v>
      </c>
      <c r="AH23" s="10" t="s">
        <v>64</v>
      </c>
    </row>
    <row r="24" spans="1:34" ht="14.5">
      <c r="A24" t="s">
        <v>104</v>
      </c>
      <c r="B24" t="s">
        <v>105</v>
      </c>
      <c r="C24" s="24">
        <v>1</v>
      </c>
      <c r="D24" t="s">
        <v>38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  <c r="J24" t="s">
        <v>42</v>
      </c>
      <c r="K24" t="s">
        <v>42</v>
      </c>
      <c r="L24" t="s">
        <v>42</v>
      </c>
      <c r="M24" s="1" t="s">
        <v>42</v>
      </c>
      <c r="N24" s="39" t="s">
        <v>106</v>
      </c>
      <c r="O24" t="s">
        <v>44</v>
      </c>
      <c r="P24" s="39" t="s">
        <v>107</v>
      </c>
      <c r="Q24" t="s">
        <v>108</v>
      </c>
      <c r="R24" t="s">
        <v>109</v>
      </c>
      <c r="S24" t="s">
        <v>110</v>
      </c>
      <c r="T24" t="s">
        <v>111</v>
      </c>
      <c r="U24" t="s">
        <v>42</v>
      </c>
      <c r="V24" t="s">
        <v>42</v>
      </c>
      <c r="W24" s="8" t="s">
        <v>50</v>
      </c>
      <c r="X24" t="s">
        <v>85</v>
      </c>
      <c r="Y24" s="8">
        <v>1</v>
      </c>
      <c r="Z24">
        <v>19</v>
      </c>
      <c r="AA24">
        <v>5</v>
      </c>
      <c r="AB24">
        <v>0</v>
      </c>
      <c r="AC24" s="5">
        <v>1999</v>
      </c>
      <c r="AD24" s="1">
        <v>2013</v>
      </c>
      <c r="AE24" s="6">
        <f t="shared" si="0"/>
        <v>14</v>
      </c>
      <c r="AF24">
        <v>13</v>
      </c>
      <c r="AG24" t="s">
        <v>64</v>
      </c>
      <c r="AH24" s="1" t="s">
        <v>64</v>
      </c>
    </row>
    <row r="25" spans="1:34" s="9" customFormat="1" ht="14.5">
      <c r="A25" s="9" t="s">
        <v>104</v>
      </c>
      <c r="B25" s="9" t="s">
        <v>105</v>
      </c>
      <c r="C25" s="25">
        <v>2</v>
      </c>
      <c r="D25" s="9" t="s">
        <v>38</v>
      </c>
      <c r="E25" s="9" t="s">
        <v>38</v>
      </c>
      <c r="F25" s="9" t="s">
        <v>39</v>
      </c>
      <c r="G25" s="9" t="s">
        <v>40</v>
      </c>
      <c r="H25" s="9" t="s">
        <v>41</v>
      </c>
      <c r="I25" s="9" t="s">
        <v>42</v>
      </c>
      <c r="J25" s="9" t="s">
        <v>42</v>
      </c>
      <c r="K25" s="9" t="s">
        <v>42</v>
      </c>
      <c r="L25" s="9" t="s">
        <v>42</v>
      </c>
      <c r="M25" s="10" t="s">
        <v>42</v>
      </c>
      <c r="N25" s="40" t="s">
        <v>106</v>
      </c>
      <c r="O25" s="9" t="s">
        <v>44</v>
      </c>
      <c r="P25" s="40" t="s">
        <v>107</v>
      </c>
      <c r="Q25" s="9" t="s">
        <v>112</v>
      </c>
      <c r="R25" s="9" t="s">
        <v>113</v>
      </c>
      <c r="S25" s="9" t="s">
        <v>110</v>
      </c>
      <c r="T25" s="9" t="s">
        <v>111</v>
      </c>
      <c r="U25" s="9" t="s">
        <v>42</v>
      </c>
      <c r="V25" s="9" t="s">
        <v>42</v>
      </c>
      <c r="W25" s="11" t="s">
        <v>50</v>
      </c>
      <c r="X25" s="9" t="s">
        <v>85</v>
      </c>
      <c r="Y25" s="11">
        <v>1</v>
      </c>
      <c r="Z25" s="9">
        <v>19</v>
      </c>
      <c r="AA25" s="9">
        <v>5</v>
      </c>
      <c r="AB25" s="9">
        <v>0</v>
      </c>
      <c r="AC25" s="12">
        <v>1999</v>
      </c>
      <c r="AD25" s="10">
        <v>2013</v>
      </c>
      <c r="AE25" s="13">
        <f t="shared" si="0"/>
        <v>14</v>
      </c>
      <c r="AF25" s="9">
        <v>13</v>
      </c>
      <c r="AG25" s="9" t="s">
        <v>64</v>
      </c>
      <c r="AH25" s="10" t="s">
        <v>64</v>
      </c>
    </row>
    <row r="26" spans="1:34" ht="14.5">
      <c r="A26" t="s">
        <v>114</v>
      </c>
      <c r="B26" t="s">
        <v>115</v>
      </c>
      <c r="C26" s="24">
        <v>1</v>
      </c>
      <c r="D26" t="s">
        <v>38</v>
      </c>
      <c r="E26" t="s">
        <v>38</v>
      </c>
      <c r="F26" t="s">
        <v>116</v>
      </c>
      <c r="G26" t="s">
        <v>40</v>
      </c>
      <c r="H26" t="s">
        <v>42</v>
      </c>
      <c r="I26" t="s">
        <v>42</v>
      </c>
      <c r="J26" t="s">
        <v>42</v>
      </c>
      <c r="K26" t="s">
        <v>117</v>
      </c>
      <c r="L26" t="s">
        <v>118</v>
      </c>
      <c r="M26" s="1" t="s">
        <v>42</v>
      </c>
      <c r="N26" s="39" t="s">
        <v>57</v>
      </c>
      <c r="O26" t="s">
        <v>44</v>
      </c>
      <c r="P26" s="39" t="s">
        <v>57</v>
      </c>
      <c r="Q26" t="s">
        <v>46</v>
      </c>
      <c r="R26" t="s">
        <v>119</v>
      </c>
      <c r="S26" t="s">
        <v>59</v>
      </c>
      <c r="T26" t="s">
        <v>111</v>
      </c>
      <c r="U26" t="s">
        <v>42</v>
      </c>
      <c r="V26" t="s">
        <v>42</v>
      </c>
      <c r="W26" s="8" t="s">
        <v>50</v>
      </c>
      <c r="X26" t="s">
        <v>120</v>
      </c>
      <c r="Y26" s="8">
        <v>2</v>
      </c>
      <c r="Z26">
        <v>2</v>
      </c>
      <c r="AA26">
        <v>2</v>
      </c>
      <c r="AB26">
        <v>0</v>
      </c>
      <c r="AC26" s="5">
        <v>2006</v>
      </c>
      <c r="AD26" s="1">
        <v>2017</v>
      </c>
      <c r="AE26" s="6">
        <f t="shared" si="0"/>
        <v>11</v>
      </c>
      <c r="AF26">
        <v>3</v>
      </c>
      <c r="AG26" t="s">
        <v>64</v>
      </c>
      <c r="AH26" s="1" t="s">
        <v>64</v>
      </c>
    </row>
    <row r="27" spans="1:34" ht="14.5">
      <c r="A27" t="s">
        <v>114</v>
      </c>
      <c r="B27" t="s">
        <v>115</v>
      </c>
      <c r="C27" s="24">
        <v>2</v>
      </c>
      <c r="D27" t="s">
        <v>38</v>
      </c>
      <c r="E27" t="s">
        <v>38</v>
      </c>
      <c r="F27" t="s">
        <v>116</v>
      </c>
      <c r="G27" t="s">
        <v>40</v>
      </c>
      <c r="H27" t="s">
        <v>42</v>
      </c>
      <c r="I27" t="s">
        <v>42</v>
      </c>
      <c r="J27" t="s">
        <v>42</v>
      </c>
      <c r="K27" t="s">
        <v>117</v>
      </c>
      <c r="L27" t="s">
        <v>118</v>
      </c>
      <c r="M27" s="1" t="s">
        <v>42</v>
      </c>
      <c r="N27" s="39" t="s">
        <v>52</v>
      </c>
      <c r="O27" t="s">
        <v>44</v>
      </c>
      <c r="P27" s="39" t="s">
        <v>52</v>
      </c>
      <c r="Q27" t="s">
        <v>46</v>
      </c>
      <c r="R27" t="s">
        <v>119</v>
      </c>
      <c r="S27" t="s">
        <v>69</v>
      </c>
      <c r="T27" t="s">
        <v>111</v>
      </c>
      <c r="U27" t="s">
        <v>42</v>
      </c>
      <c r="V27" t="s">
        <v>42</v>
      </c>
      <c r="W27" s="8" t="s">
        <v>50</v>
      </c>
      <c r="X27" t="s">
        <v>120</v>
      </c>
      <c r="Y27" s="8">
        <v>2</v>
      </c>
      <c r="Z27">
        <v>2</v>
      </c>
      <c r="AA27">
        <v>2</v>
      </c>
      <c r="AB27">
        <v>0</v>
      </c>
      <c r="AC27" s="5">
        <v>2006</v>
      </c>
      <c r="AD27" s="1">
        <v>2017</v>
      </c>
      <c r="AE27" s="6">
        <f t="shared" si="0"/>
        <v>11</v>
      </c>
      <c r="AF27">
        <v>3</v>
      </c>
      <c r="AG27" t="s">
        <v>64</v>
      </c>
      <c r="AH27" s="1" t="s">
        <v>64</v>
      </c>
    </row>
    <row r="28" spans="1:34" s="9" customFormat="1" ht="14.5">
      <c r="A28" s="9" t="s">
        <v>114</v>
      </c>
      <c r="B28" s="9" t="s">
        <v>115</v>
      </c>
      <c r="C28" s="25">
        <v>3</v>
      </c>
      <c r="D28" s="9" t="s">
        <v>38</v>
      </c>
      <c r="E28" s="9" t="s">
        <v>38</v>
      </c>
      <c r="F28" s="9" t="s">
        <v>116</v>
      </c>
      <c r="G28" s="9" t="s">
        <v>40</v>
      </c>
      <c r="H28" s="9" t="s">
        <v>42</v>
      </c>
      <c r="I28" s="9" t="s">
        <v>42</v>
      </c>
      <c r="J28" s="9" t="s">
        <v>42</v>
      </c>
      <c r="K28" s="9" t="s">
        <v>117</v>
      </c>
      <c r="L28" s="9" t="s">
        <v>118</v>
      </c>
      <c r="M28" s="10" t="s">
        <v>42</v>
      </c>
      <c r="N28" s="40" t="s">
        <v>43</v>
      </c>
      <c r="O28" s="9" t="s">
        <v>44</v>
      </c>
      <c r="P28" s="40" t="s">
        <v>73</v>
      </c>
      <c r="Q28" s="9" t="s">
        <v>46</v>
      </c>
      <c r="R28" s="9" t="s">
        <v>119</v>
      </c>
      <c r="S28" s="9" t="s">
        <v>48</v>
      </c>
      <c r="T28" s="9" t="s">
        <v>84</v>
      </c>
      <c r="U28" s="9" t="s">
        <v>42</v>
      </c>
      <c r="V28" s="9" t="s">
        <v>42</v>
      </c>
      <c r="W28" s="11" t="s">
        <v>50</v>
      </c>
      <c r="X28" s="9" t="s">
        <v>120</v>
      </c>
      <c r="Y28" s="11">
        <v>2</v>
      </c>
      <c r="Z28" s="9">
        <v>2</v>
      </c>
      <c r="AA28" s="9">
        <v>2</v>
      </c>
      <c r="AB28" s="9">
        <v>0</v>
      </c>
      <c r="AC28" s="12">
        <v>2006</v>
      </c>
      <c r="AD28" s="10">
        <v>2017</v>
      </c>
      <c r="AE28" s="13">
        <f t="shared" si="0"/>
        <v>11</v>
      </c>
      <c r="AF28" s="9">
        <v>3</v>
      </c>
      <c r="AG28" s="9" t="s">
        <v>64</v>
      </c>
      <c r="AH28" s="10" t="s">
        <v>64</v>
      </c>
    </row>
    <row r="29" spans="1:34" ht="14.5">
      <c r="A29" t="s">
        <v>121</v>
      </c>
      <c r="B29" t="s">
        <v>122</v>
      </c>
      <c r="C29" s="24">
        <v>1</v>
      </c>
      <c r="D29" t="s">
        <v>38</v>
      </c>
      <c r="E29" t="s">
        <v>38</v>
      </c>
      <c r="F29" t="s">
        <v>123</v>
      </c>
      <c r="G29" t="s">
        <v>40</v>
      </c>
      <c r="H29" t="s">
        <v>41</v>
      </c>
      <c r="I29" t="s">
        <v>42</v>
      </c>
      <c r="J29" t="s">
        <v>42</v>
      </c>
      <c r="K29" t="s">
        <v>117</v>
      </c>
      <c r="L29" t="s">
        <v>124</v>
      </c>
      <c r="N29" s="39" t="s">
        <v>57</v>
      </c>
      <c r="O29" t="s">
        <v>44</v>
      </c>
      <c r="P29" s="39" t="s">
        <v>57</v>
      </c>
      <c r="Q29" t="s">
        <v>46</v>
      </c>
      <c r="R29" t="s">
        <v>125</v>
      </c>
      <c r="S29" t="s">
        <v>59</v>
      </c>
      <c r="T29" t="s">
        <v>126</v>
      </c>
      <c r="U29" t="s">
        <v>42</v>
      </c>
      <c r="V29" t="s">
        <v>42</v>
      </c>
      <c r="W29" s="8" t="s">
        <v>50</v>
      </c>
      <c r="X29" t="s">
        <v>120</v>
      </c>
      <c r="Y29" s="8">
        <v>2</v>
      </c>
      <c r="Z29">
        <v>5</v>
      </c>
      <c r="AA29">
        <v>5</v>
      </c>
      <c r="AB29">
        <v>0</v>
      </c>
      <c r="AC29" s="5">
        <v>2021</v>
      </c>
      <c r="AD29" s="1">
        <v>2023</v>
      </c>
      <c r="AE29" s="6">
        <f t="shared" si="0"/>
        <v>2</v>
      </c>
      <c r="AF29">
        <v>3</v>
      </c>
      <c r="AG29" t="s">
        <v>64</v>
      </c>
      <c r="AH29" s="1" t="s">
        <v>64</v>
      </c>
    </row>
    <row r="30" spans="1:34" ht="14.5">
      <c r="A30" t="s">
        <v>121</v>
      </c>
      <c r="B30" t="s">
        <v>122</v>
      </c>
      <c r="C30" s="24">
        <v>2</v>
      </c>
      <c r="D30" t="s">
        <v>38</v>
      </c>
      <c r="E30" t="s">
        <v>38</v>
      </c>
      <c r="F30" t="s">
        <v>123</v>
      </c>
      <c r="G30" t="s">
        <v>40</v>
      </c>
      <c r="H30" t="s">
        <v>41</v>
      </c>
      <c r="I30" t="s">
        <v>42</v>
      </c>
      <c r="J30" t="s">
        <v>42</v>
      </c>
      <c r="K30" t="s">
        <v>117</v>
      </c>
      <c r="L30" t="s">
        <v>124</v>
      </c>
      <c r="N30" s="39" t="s">
        <v>52</v>
      </c>
      <c r="O30" t="s">
        <v>44</v>
      </c>
      <c r="P30" s="39" t="s">
        <v>52</v>
      </c>
      <c r="Q30" t="s">
        <v>46</v>
      </c>
      <c r="R30" t="s">
        <v>125</v>
      </c>
      <c r="S30" t="s">
        <v>69</v>
      </c>
      <c r="T30" t="s">
        <v>126</v>
      </c>
      <c r="U30" t="s">
        <v>42</v>
      </c>
      <c r="V30" t="s">
        <v>42</v>
      </c>
      <c r="W30" s="8" t="s">
        <v>50</v>
      </c>
      <c r="X30" t="s">
        <v>120</v>
      </c>
      <c r="Y30" s="8">
        <v>2</v>
      </c>
      <c r="Z30">
        <v>5</v>
      </c>
      <c r="AA30">
        <v>5</v>
      </c>
      <c r="AB30">
        <v>0</v>
      </c>
      <c r="AC30" s="5">
        <v>2021</v>
      </c>
      <c r="AD30" s="1">
        <v>2023</v>
      </c>
      <c r="AE30" s="6">
        <f t="shared" si="0"/>
        <v>2</v>
      </c>
      <c r="AF30">
        <v>3</v>
      </c>
      <c r="AG30" t="s">
        <v>64</v>
      </c>
      <c r="AH30" s="1" t="s">
        <v>64</v>
      </c>
    </row>
    <row r="31" spans="1:34" ht="14.5">
      <c r="A31" t="s">
        <v>121</v>
      </c>
      <c r="B31" t="s">
        <v>122</v>
      </c>
      <c r="C31" s="24">
        <v>3</v>
      </c>
      <c r="D31" t="s">
        <v>38</v>
      </c>
      <c r="E31" t="s">
        <v>38</v>
      </c>
      <c r="F31" t="s">
        <v>123</v>
      </c>
      <c r="G31" t="s">
        <v>40</v>
      </c>
      <c r="H31" t="s">
        <v>41</v>
      </c>
      <c r="I31" t="s">
        <v>42</v>
      </c>
      <c r="J31" t="s">
        <v>42</v>
      </c>
      <c r="K31" t="s">
        <v>117</v>
      </c>
      <c r="L31" t="s">
        <v>124</v>
      </c>
      <c r="N31" s="39" t="s">
        <v>43</v>
      </c>
      <c r="O31" t="s">
        <v>44</v>
      </c>
      <c r="P31" s="39" t="s">
        <v>127</v>
      </c>
      <c r="Q31" t="s">
        <v>46</v>
      </c>
      <c r="R31" t="s">
        <v>125</v>
      </c>
      <c r="S31" t="s">
        <v>48</v>
      </c>
      <c r="T31" t="s">
        <v>126</v>
      </c>
      <c r="U31" t="s">
        <v>42</v>
      </c>
      <c r="V31" t="s">
        <v>42</v>
      </c>
      <c r="W31" s="8" t="s">
        <v>50</v>
      </c>
      <c r="X31" t="s">
        <v>120</v>
      </c>
      <c r="Y31" s="8">
        <v>2</v>
      </c>
      <c r="Z31">
        <v>5</v>
      </c>
      <c r="AA31">
        <v>5</v>
      </c>
      <c r="AB31">
        <v>0</v>
      </c>
      <c r="AC31" s="5">
        <v>2021</v>
      </c>
      <c r="AD31" s="1">
        <v>2023</v>
      </c>
      <c r="AE31" s="6">
        <f t="shared" si="0"/>
        <v>2</v>
      </c>
      <c r="AF31">
        <v>3</v>
      </c>
      <c r="AG31" t="s">
        <v>64</v>
      </c>
      <c r="AH31" s="1" t="s">
        <v>64</v>
      </c>
    </row>
    <row r="32" spans="1:34" ht="14.5">
      <c r="A32" t="s">
        <v>121</v>
      </c>
      <c r="B32" t="s">
        <v>122</v>
      </c>
      <c r="C32" s="24">
        <v>4</v>
      </c>
      <c r="D32" t="s">
        <v>38</v>
      </c>
      <c r="E32" t="s">
        <v>38</v>
      </c>
      <c r="F32" t="s">
        <v>123</v>
      </c>
      <c r="G32" t="s">
        <v>40</v>
      </c>
      <c r="H32" t="s">
        <v>41</v>
      </c>
      <c r="I32" t="s">
        <v>42</v>
      </c>
      <c r="J32" t="s">
        <v>42</v>
      </c>
      <c r="K32" t="s">
        <v>117</v>
      </c>
      <c r="L32" t="s">
        <v>124</v>
      </c>
      <c r="N32" s="39" t="s">
        <v>43</v>
      </c>
      <c r="O32" t="s">
        <v>44</v>
      </c>
      <c r="P32" s="39" t="s">
        <v>128</v>
      </c>
      <c r="Q32" t="s">
        <v>46</v>
      </c>
      <c r="R32" t="s">
        <v>125</v>
      </c>
      <c r="S32" t="s">
        <v>129</v>
      </c>
      <c r="T32" t="s">
        <v>126</v>
      </c>
      <c r="U32" t="s">
        <v>42</v>
      </c>
      <c r="V32" t="s">
        <v>42</v>
      </c>
      <c r="W32" s="8" t="s">
        <v>50</v>
      </c>
      <c r="X32" t="s">
        <v>120</v>
      </c>
      <c r="Y32" s="8">
        <v>2</v>
      </c>
      <c r="Z32">
        <v>5</v>
      </c>
      <c r="AA32">
        <v>5</v>
      </c>
      <c r="AB32">
        <v>0</v>
      </c>
      <c r="AC32" s="5">
        <v>2021</v>
      </c>
      <c r="AD32" s="1">
        <v>2023</v>
      </c>
      <c r="AE32" s="6">
        <f t="shared" si="0"/>
        <v>2</v>
      </c>
      <c r="AF32">
        <v>3</v>
      </c>
      <c r="AG32" t="s">
        <v>64</v>
      </c>
      <c r="AH32" s="1" t="s">
        <v>64</v>
      </c>
    </row>
    <row r="33" spans="1:34" ht="14.5">
      <c r="A33" t="s">
        <v>121</v>
      </c>
      <c r="B33" t="s">
        <v>122</v>
      </c>
      <c r="C33" s="24">
        <v>5</v>
      </c>
      <c r="D33" t="s">
        <v>38</v>
      </c>
      <c r="E33" t="s">
        <v>38</v>
      </c>
      <c r="F33" t="s">
        <v>123</v>
      </c>
      <c r="G33" t="s">
        <v>40</v>
      </c>
      <c r="H33" t="s">
        <v>91</v>
      </c>
      <c r="I33" t="s">
        <v>92</v>
      </c>
      <c r="J33" t="s">
        <v>42</v>
      </c>
      <c r="K33" t="s">
        <v>117</v>
      </c>
      <c r="L33" t="s">
        <v>124</v>
      </c>
      <c r="N33" s="39" t="s">
        <v>99</v>
      </c>
      <c r="O33" t="s">
        <v>44</v>
      </c>
      <c r="P33" s="39" t="s">
        <v>130</v>
      </c>
      <c r="Q33" t="s">
        <v>46</v>
      </c>
      <c r="R33" t="s">
        <v>125</v>
      </c>
      <c r="S33" t="s">
        <v>88</v>
      </c>
      <c r="T33" t="s">
        <v>131</v>
      </c>
      <c r="U33" t="s">
        <v>42</v>
      </c>
      <c r="V33" t="s">
        <v>42</v>
      </c>
      <c r="W33" s="8" t="s">
        <v>50</v>
      </c>
      <c r="X33" t="s">
        <v>120</v>
      </c>
      <c r="Y33" s="8">
        <v>2</v>
      </c>
      <c r="Z33">
        <v>5</v>
      </c>
      <c r="AA33">
        <v>5</v>
      </c>
      <c r="AB33">
        <v>0</v>
      </c>
      <c r="AC33" s="5">
        <v>2021</v>
      </c>
      <c r="AD33" s="1">
        <v>2023</v>
      </c>
      <c r="AE33" s="6">
        <f t="shared" si="0"/>
        <v>2</v>
      </c>
      <c r="AF33">
        <v>3</v>
      </c>
      <c r="AG33" t="s">
        <v>64</v>
      </c>
      <c r="AH33" s="1" t="s">
        <v>64</v>
      </c>
    </row>
    <row r="34" spans="1:34" ht="14.5">
      <c r="A34" t="s">
        <v>121</v>
      </c>
      <c r="B34" t="s">
        <v>122</v>
      </c>
      <c r="C34" s="24">
        <v>6</v>
      </c>
      <c r="D34" t="s">
        <v>38</v>
      </c>
      <c r="E34" t="s">
        <v>38</v>
      </c>
      <c r="F34" t="s">
        <v>123</v>
      </c>
      <c r="G34" t="s">
        <v>40</v>
      </c>
      <c r="H34" t="s">
        <v>41</v>
      </c>
      <c r="I34" t="s">
        <v>42</v>
      </c>
      <c r="J34" t="s">
        <v>42</v>
      </c>
      <c r="K34" t="s">
        <v>117</v>
      </c>
      <c r="L34" t="s">
        <v>124</v>
      </c>
      <c r="N34" s="39" t="s">
        <v>132</v>
      </c>
      <c r="O34" t="s">
        <v>44</v>
      </c>
      <c r="P34" s="39" t="s">
        <v>133</v>
      </c>
      <c r="Q34" t="s">
        <v>134</v>
      </c>
      <c r="R34" t="s">
        <v>135</v>
      </c>
      <c r="S34" t="s">
        <v>88</v>
      </c>
      <c r="T34" t="s">
        <v>131</v>
      </c>
      <c r="U34" t="s">
        <v>42</v>
      </c>
      <c r="V34" t="s">
        <v>42</v>
      </c>
      <c r="W34" s="8" t="s">
        <v>50</v>
      </c>
      <c r="X34" t="s">
        <v>120</v>
      </c>
      <c r="Y34" s="8">
        <v>2</v>
      </c>
      <c r="Z34">
        <v>5</v>
      </c>
      <c r="AA34">
        <v>5</v>
      </c>
      <c r="AB34">
        <v>0</v>
      </c>
      <c r="AC34" s="5">
        <v>2021</v>
      </c>
      <c r="AD34" s="1">
        <v>2023</v>
      </c>
      <c r="AE34" s="6">
        <f t="shared" si="0"/>
        <v>2</v>
      </c>
      <c r="AF34">
        <v>3</v>
      </c>
      <c r="AG34" t="s">
        <v>64</v>
      </c>
      <c r="AH34" s="1" t="s">
        <v>64</v>
      </c>
    </row>
    <row r="35" spans="1:34" s="9" customFormat="1" ht="14.5">
      <c r="A35" s="9" t="s">
        <v>121</v>
      </c>
      <c r="B35" s="9" t="s">
        <v>122</v>
      </c>
      <c r="C35" s="25">
        <v>7</v>
      </c>
      <c r="D35" s="9" t="s">
        <v>38</v>
      </c>
      <c r="E35" s="9" t="s">
        <v>38</v>
      </c>
      <c r="F35" s="9" t="s">
        <v>123</v>
      </c>
      <c r="G35" s="9" t="s">
        <v>40</v>
      </c>
      <c r="H35" s="9" t="s">
        <v>41</v>
      </c>
      <c r="I35" s="9" t="s">
        <v>42</v>
      </c>
      <c r="J35" s="9" t="s">
        <v>42</v>
      </c>
      <c r="K35" s="9" t="s">
        <v>117</v>
      </c>
      <c r="L35" s="9" t="s">
        <v>124</v>
      </c>
      <c r="M35" s="10"/>
      <c r="N35" s="40" t="s">
        <v>43</v>
      </c>
      <c r="O35" s="9" t="s">
        <v>44</v>
      </c>
      <c r="P35" s="40" t="s">
        <v>127</v>
      </c>
      <c r="Q35" s="9" t="s">
        <v>134</v>
      </c>
      <c r="R35" s="9" t="s">
        <v>135</v>
      </c>
      <c r="S35" s="9" t="s">
        <v>136</v>
      </c>
      <c r="T35" s="9" t="s">
        <v>131</v>
      </c>
      <c r="U35" s="9" t="s">
        <v>42</v>
      </c>
      <c r="V35" s="9" t="s">
        <v>42</v>
      </c>
      <c r="W35" s="11" t="s">
        <v>50</v>
      </c>
      <c r="X35" s="9" t="s">
        <v>120</v>
      </c>
      <c r="Y35" s="11">
        <v>2</v>
      </c>
      <c r="Z35" s="9">
        <v>5</v>
      </c>
      <c r="AA35" s="9">
        <v>5</v>
      </c>
      <c r="AB35" s="9">
        <v>0</v>
      </c>
      <c r="AC35" s="12">
        <v>2021</v>
      </c>
      <c r="AD35" s="10">
        <v>2023</v>
      </c>
      <c r="AE35" s="13">
        <f t="shared" si="0"/>
        <v>2</v>
      </c>
      <c r="AF35" s="9">
        <v>3</v>
      </c>
      <c r="AG35" s="9" t="s">
        <v>64</v>
      </c>
      <c r="AH35" s="10" t="s">
        <v>64</v>
      </c>
    </row>
    <row r="36" spans="1:34" ht="14.5">
      <c r="A36" t="s">
        <v>137</v>
      </c>
      <c r="B36" t="s">
        <v>138</v>
      </c>
      <c r="C36" s="24">
        <v>1</v>
      </c>
      <c r="D36" t="s">
        <v>38</v>
      </c>
      <c r="E36" t="s">
        <v>38</v>
      </c>
      <c r="F36" t="s">
        <v>39</v>
      </c>
      <c r="G36" t="s">
        <v>40</v>
      </c>
      <c r="H36" t="s">
        <v>41</v>
      </c>
      <c r="I36" t="s">
        <v>42</v>
      </c>
      <c r="J36" t="s">
        <v>42</v>
      </c>
      <c r="K36" t="s">
        <v>42</v>
      </c>
      <c r="L36" t="s">
        <v>42</v>
      </c>
      <c r="M36" s="1" t="s">
        <v>42</v>
      </c>
      <c r="N36" s="39" t="s">
        <v>139</v>
      </c>
      <c r="O36" t="s">
        <v>44</v>
      </c>
      <c r="P36" s="39" t="s">
        <v>140</v>
      </c>
      <c r="Q36" t="s">
        <v>77</v>
      </c>
      <c r="R36" t="s">
        <v>141</v>
      </c>
      <c r="S36" t="s">
        <v>48</v>
      </c>
      <c r="T36" t="s">
        <v>142</v>
      </c>
      <c r="U36" t="s">
        <v>42</v>
      </c>
      <c r="V36" t="s">
        <v>42</v>
      </c>
      <c r="W36" s="8" t="s">
        <v>50</v>
      </c>
      <c r="X36" t="s">
        <v>85</v>
      </c>
      <c r="Y36" s="8">
        <v>1</v>
      </c>
      <c r="Z36">
        <v>18</v>
      </c>
      <c r="AA36">
        <v>11</v>
      </c>
      <c r="AB36">
        <v>0</v>
      </c>
      <c r="AC36" s="5">
        <v>2015</v>
      </c>
      <c r="AD36" s="1">
        <v>2019</v>
      </c>
      <c r="AE36" s="6">
        <f t="shared" si="0"/>
        <v>4</v>
      </c>
      <c r="AF36">
        <v>1</v>
      </c>
      <c r="AG36" t="s">
        <v>64</v>
      </c>
      <c r="AH36" s="1" t="s">
        <v>64</v>
      </c>
    </row>
    <row r="37" spans="1:34" ht="14.5">
      <c r="A37" t="s">
        <v>137</v>
      </c>
      <c r="B37" t="s">
        <v>138</v>
      </c>
      <c r="C37" s="24">
        <v>2</v>
      </c>
      <c r="D37" t="s">
        <v>38</v>
      </c>
      <c r="E37" t="s">
        <v>38</v>
      </c>
      <c r="F37" t="s">
        <v>39</v>
      </c>
      <c r="G37" t="s">
        <v>40</v>
      </c>
      <c r="H37" t="s">
        <v>41</v>
      </c>
      <c r="I37" t="s">
        <v>42</v>
      </c>
      <c r="J37" t="s">
        <v>42</v>
      </c>
      <c r="K37" t="s">
        <v>42</v>
      </c>
      <c r="L37" t="s">
        <v>42</v>
      </c>
      <c r="M37" s="1" t="s">
        <v>42</v>
      </c>
      <c r="N37" s="39" t="s">
        <v>139</v>
      </c>
      <c r="O37" t="s">
        <v>44</v>
      </c>
      <c r="P37" s="39" t="s">
        <v>140</v>
      </c>
      <c r="Q37" t="s">
        <v>77</v>
      </c>
      <c r="R37" t="s">
        <v>143</v>
      </c>
      <c r="S37" t="s">
        <v>48</v>
      </c>
      <c r="T37" t="s">
        <v>142</v>
      </c>
      <c r="U37" t="s">
        <v>42</v>
      </c>
      <c r="V37" t="s">
        <v>42</v>
      </c>
      <c r="W37" s="8" t="s">
        <v>50</v>
      </c>
      <c r="X37" t="s">
        <v>42</v>
      </c>
      <c r="Y37" s="8">
        <v>1</v>
      </c>
      <c r="Z37">
        <v>18</v>
      </c>
      <c r="AA37">
        <v>11</v>
      </c>
      <c r="AB37">
        <v>0</v>
      </c>
      <c r="AC37" s="5">
        <v>2015</v>
      </c>
      <c r="AD37" s="1">
        <v>2019</v>
      </c>
      <c r="AE37" s="6">
        <f t="shared" si="0"/>
        <v>4</v>
      </c>
      <c r="AF37">
        <v>1</v>
      </c>
      <c r="AG37" t="s">
        <v>64</v>
      </c>
      <c r="AH37" s="1" t="s">
        <v>64</v>
      </c>
    </row>
    <row r="38" spans="1:34" s="9" customFormat="1" ht="14.5">
      <c r="A38" s="9" t="s">
        <v>137</v>
      </c>
      <c r="B38" s="9" t="s">
        <v>138</v>
      </c>
      <c r="C38" s="25">
        <v>3</v>
      </c>
      <c r="D38" s="9" t="s">
        <v>38</v>
      </c>
      <c r="E38" s="9" t="s">
        <v>38</v>
      </c>
      <c r="F38" s="9" t="s">
        <v>39</v>
      </c>
      <c r="G38" s="9" t="s">
        <v>40</v>
      </c>
      <c r="H38" s="9" t="s">
        <v>41</v>
      </c>
      <c r="I38" s="9" t="s">
        <v>42</v>
      </c>
      <c r="J38" s="9" t="s">
        <v>42</v>
      </c>
      <c r="K38" s="9" t="s">
        <v>42</v>
      </c>
      <c r="L38" s="9" t="s">
        <v>42</v>
      </c>
      <c r="M38" s="10" t="s">
        <v>42</v>
      </c>
      <c r="N38" s="39" t="s">
        <v>139</v>
      </c>
      <c r="O38" s="9" t="s">
        <v>44</v>
      </c>
      <c r="P38" s="40" t="s">
        <v>140</v>
      </c>
      <c r="Q38" s="9" t="s">
        <v>77</v>
      </c>
      <c r="R38" s="9" t="s">
        <v>144</v>
      </c>
      <c r="S38" s="9" t="s">
        <v>48</v>
      </c>
      <c r="T38" s="9" t="s">
        <v>142</v>
      </c>
      <c r="U38" s="9" t="s">
        <v>42</v>
      </c>
      <c r="V38" s="9" t="s">
        <v>42</v>
      </c>
      <c r="W38" s="11" t="s">
        <v>50</v>
      </c>
      <c r="X38" s="9" t="s">
        <v>42</v>
      </c>
      <c r="Y38" s="11">
        <v>1</v>
      </c>
      <c r="Z38" s="9">
        <v>18</v>
      </c>
      <c r="AA38" s="9">
        <v>11</v>
      </c>
      <c r="AB38" s="9">
        <v>0</v>
      </c>
      <c r="AC38" s="12">
        <v>2015</v>
      </c>
      <c r="AD38" s="10">
        <v>2019</v>
      </c>
      <c r="AE38" s="13">
        <f t="shared" si="0"/>
        <v>4</v>
      </c>
      <c r="AF38" s="9">
        <v>1</v>
      </c>
      <c r="AG38" s="9" t="s">
        <v>64</v>
      </c>
      <c r="AH38" s="10" t="s">
        <v>64</v>
      </c>
    </row>
    <row r="39" spans="1:34" ht="14.5">
      <c r="A39" t="s">
        <v>145</v>
      </c>
      <c r="B39" t="s">
        <v>146</v>
      </c>
      <c r="C39" s="24">
        <v>1</v>
      </c>
      <c r="D39" t="s">
        <v>38</v>
      </c>
      <c r="E39" t="s">
        <v>38</v>
      </c>
      <c r="F39" t="s">
        <v>39</v>
      </c>
      <c r="G39" t="s">
        <v>40</v>
      </c>
      <c r="H39" t="s">
        <v>41</v>
      </c>
      <c r="I39" t="s">
        <v>42</v>
      </c>
      <c r="J39" t="s">
        <v>42</v>
      </c>
      <c r="K39" t="s">
        <v>42</v>
      </c>
      <c r="L39" t="s">
        <v>42</v>
      </c>
      <c r="M39" s="1" t="s">
        <v>42</v>
      </c>
      <c r="N39" s="39" t="s">
        <v>52</v>
      </c>
      <c r="O39" t="s">
        <v>44</v>
      </c>
      <c r="P39" s="39" t="s">
        <v>52</v>
      </c>
      <c r="Q39" t="s">
        <v>147</v>
      </c>
      <c r="R39" t="s">
        <v>148</v>
      </c>
      <c r="S39" t="s">
        <v>69</v>
      </c>
      <c r="T39" t="s">
        <v>42</v>
      </c>
      <c r="U39" t="s">
        <v>42</v>
      </c>
      <c r="V39" t="s">
        <v>42</v>
      </c>
      <c r="W39" s="8" t="s">
        <v>50</v>
      </c>
      <c r="X39" t="s">
        <v>85</v>
      </c>
      <c r="Y39" s="8">
        <v>1</v>
      </c>
      <c r="Z39">
        <v>1</v>
      </c>
      <c r="AA39">
        <v>1</v>
      </c>
      <c r="AB39">
        <v>0</v>
      </c>
      <c r="AC39" s="5">
        <v>2015</v>
      </c>
      <c r="AD39" s="1">
        <v>2015</v>
      </c>
      <c r="AE39" s="6" t="s">
        <v>72</v>
      </c>
      <c r="AF39">
        <v>1</v>
      </c>
      <c r="AG39" t="s">
        <v>64</v>
      </c>
      <c r="AH39" s="1" t="s">
        <v>64</v>
      </c>
    </row>
    <row r="40" spans="1:34" ht="14.5">
      <c r="A40" t="s">
        <v>145</v>
      </c>
      <c r="B40" t="s">
        <v>146</v>
      </c>
      <c r="C40" s="24">
        <v>2</v>
      </c>
      <c r="D40" t="s">
        <v>38</v>
      </c>
      <c r="E40" t="s">
        <v>38</v>
      </c>
      <c r="F40" t="s">
        <v>39</v>
      </c>
      <c r="G40" t="s">
        <v>40</v>
      </c>
      <c r="H40" t="s">
        <v>41</v>
      </c>
      <c r="I40" t="s">
        <v>42</v>
      </c>
      <c r="J40" t="s">
        <v>42</v>
      </c>
      <c r="K40" t="s">
        <v>42</v>
      </c>
      <c r="L40" t="s">
        <v>42</v>
      </c>
      <c r="M40" s="1" t="s">
        <v>42</v>
      </c>
      <c r="N40" s="39" t="s">
        <v>43</v>
      </c>
      <c r="O40" t="s">
        <v>44</v>
      </c>
      <c r="P40" s="39" t="s">
        <v>127</v>
      </c>
      <c r="Q40" t="s">
        <v>147</v>
      </c>
      <c r="R40" t="s">
        <v>148</v>
      </c>
      <c r="S40" t="s">
        <v>48</v>
      </c>
      <c r="T40" t="s">
        <v>42</v>
      </c>
      <c r="U40" t="s">
        <v>42</v>
      </c>
      <c r="V40" t="s">
        <v>42</v>
      </c>
      <c r="W40" s="8" t="s">
        <v>50</v>
      </c>
      <c r="X40" t="s">
        <v>85</v>
      </c>
      <c r="Y40" s="8">
        <v>1</v>
      </c>
      <c r="Z40">
        <v>1</v>
      </c>
      <c r="AA40">
        <v>1</v>
      </c>
      <c r="AB40">
        <v>0</v>
      </c>
      <c r="AC40" s="5">
        <v>2015</v>
      </c>
      <c r="AD40" s="1">
        <v>2015</v>
      </c>
      <c r="AE40" s="6" t="s">
        <v>72</v>
      </c>
      <c r="AF40">
        <v>1</v>
      </c>
      <c r="AG40" t="s">
        <v>64</v>
      </c>
      <c r="AH40" s="1" t="s">
        <v>64</v>
      </c>
    </row>
    <row r="41" spans="1:34" s="9" customFormat="1" ht="14.5">
      <c r="A41" s="9" t="s">
        <v>145</v>
      </c>
      <c r="B41" s="9" t="s">
        <v>146</v>
      </c>
      <c r="C41" s="25">
        <v>3</v>
      </c>
      <c r="D41" s="9" t="s">
        <v>38</v>
      </c>
      <c r="E41" s="9" t="s">
        <v>38</v>
      </c>
      <c r="F41" s="9" t="s">
        <v>39</v>
      </c>
      <c r="G41" s="9" t="s">
        <v>40</v>
      </c>
      <c r="H41" s="9" t="s">
        <v>41</v>
      </c>
      <c r="I41" s="9" t="s">
        <v>42</v>
      </c>
      <c r="J41" s="9" t="s">
        <v>42</v>
      </c>
      <c r="K41" s="9" t="s">
        <v>42</v>
      </c>
      <c r="L41" s="9" t="s">
        <v>42</v>
      </c>
      <c r="M41" s="10" t="s">
        <v>42</v>
      </c>
      <c r="N41" s="40" t="s">
        <v>132</v>
      </c>
      <c r="O41" s="9" t="s">
        <v>44</v>
      </c>
      <c r="P41" s="40" t="s">
        <v>149</v>
      </c>
      <c r="Q41" s="9" t="s">
        <v>150</v>
      </c>
      <c r="S41" s="9" t="s">
        <v>88</v>
      </c>
      <c r="T41" s="9" t="s">
        <v>151</v>
      </c>
      <c r="U41" s="9" t="s">
        <v>42</v>
      </c>
      <c r="V41" s="9" t="s">
        <v>42</v>
      </c>
      <c r="W41" s="11" t="s">
        <v>50</v>
      </c>
      <c r="X41" s="9" t="s">
        <v>85</v>
      </c>
      <c r="Y41" s="11">
        <v>1</v>
      </c>
      <c r="Z41" s="9">
        <v>1</v>
      </c>
      <c r="AA41" s="9">
        <v>1</v>
      </c>
      <c r="AB41" s="9">
        <v>0</v>
      </c>
      <c r="AC41" s="12">
        <v>2015</v>
      </c>
      <c r="AD41" s="10">
        <v>2015</v>
      </c>
      <c r="AE41" s="13" t="s">
        <v>72</v>
      </c>
      <c r="AF41" s="9">
        <v>9</v>
      </c>
      <c r="AG41" s="9" t="s">
        <v>64</v>
      </c>
      <c r="AH41" s="10" t="s">
        <v>64</v>
      </c>
    </row>
    <row r="42" spans="1:34" ht="14.5">
      <c r="A42" t="s">
        <v>152</v>
      </c>
      <c r="B42" t="s">
        <v>153</v>
      </c>
      <c r="C42" s="24">
        <v>1</v>
      </c>
      <c r="D42" t="s">
        <v>38</v>
      </c>
      <c r="E42" t="s">
        <v>38</v>
      </c>
      <c r="F42" t="s">
        <v>39</v>
      </c>
      <c r="G42" t="s">
        <v>40</v>
      </c>
      <c r="H42" t="s">
        <v>91</v>
      </c>
      <c r="I42" t="s">
        <v>92</v>
      </c>
      <c r="J42" t="s">
        <v>42</v>
      </c>
      <c r="K42" t="s">
        <v>42</v>
      </c>
      <c r="L42" t="s">
        <v>42</v>
      </c>
      <c r="M42" s="1" t="s">
        <v>42</v>
      </c>
      <c r="N42" s="39" t="s">
        <v>132</v>
      </c>
      <c r="O42" t="s">
        <v>44</v>
      </c>
      <c r="P42" s="39" t="s">
        <v>154</v>
      </c>
      <c r="Q42" t="s">
        <v>155</v>
      </c>
      <c r="R42" t="s">
        <v>156</v>
      </c>
      <c r="S42" t="s">
        <v>157</v>
      </c>
      <c r="T42" t="s">
        <v>158</v>
      </c>
      <c r="U42" t="s">
        <v>42</v>
      </c>
      <c r="V42" t="s">
        <v>42</v>
      </c>
      <c r="W42" s="8" t="s">
        <v>50</v>
      </c>
      <c r="X42" t="s">
        <v>85</v>
      </c>
      <c r="Y42" s="8">
        <v>1</v>
      </c>
      <c r="Z42">
        <v>2</v>
      </c>
      <c r="AA42">
        <v>0</v>
      </c>
      <c r="AB42">
        <v>0</v>
      </c>
      <c r="AC42" s="5">
        <v>2002</v>
      </c>
      <c r="AD42" s="1">
        <v>2002</v>
      </c>
      <c r="AE42" s="6" t="s">
        <v>72</v>
      </c>
      <c r="AF42">
        <v>1</v>
      </c>
      <c r="AG42" t="s">
        <v>64</v>
      </c>
      <c r="AH42" s="1" t="s">
        <v>64</v>
      </c>
    </row>
    <row r="43" spans="1:34" ht="14.5">
      <c r="A43" t="s">
        <v>152</v>
      </c>
      <c r="B43" t="s">
        <v>153</v>
      </c>
      <c r="C43" s="24">
        <v>2</v>
      </c>
      <c r="D43" t="s">
        <v>38</v>
      </c>
      <c r="E43" t="s">
        <v>38</v>
      </c>
      <c r="F43" t="s">
        <v>39</v>
      </c>
      <c r="G43" t="s">
        <v>40</v>
      </c>
      <c r="H43" t="s">
        <v>91</v>
      </c>
      <c r="I43" t="s">
        <v>92</v>
      </c>
      <c r="J43" t="s">
        <v>42</v>
      </c>
      <c r="K43" t="s">
        <v>42</v>
      </c>
      <c r="L43" t="s">
        <v>42</v>
      </c>
      <c r="M43" s="1" t="s">
        <v>42</v>
      </c>
      <c r="N43" s="39" t="s">
        <v>43</v>
      </c>
      <c r="O43" t="s">
        <v>44</v>
      </c>
      <c r="P43" s="39" t="s">
        <v>159</v>
      </c>
      <c r="Q43" t="s">
        <v>155</v>
      </c>
      <c r="R43" t="s">
        <v>156</v>
      </c>
      <c r="S43" t="s">
        <v>160</v>
      </c>
      <c r="T43" t="s">
        <v>158</v>
      </c>
      <c r="U43" t="s">
        <v>42</v>
      </c>
      <c r="V43" t="s">
        <v>42</v>
      </c>
      <c r="W43" s="8" t="s">
        <v>50</v>
      </c>
      <c r="X43" t="s">
        <v>85</v>
      </c>
      <c r="Y43" s="8">
        <v>1</v>
      </c>
      <c r="Z43">
        <v>2</v>
      </c>
      <c r="AA43">
        <v>0</v>
      </c>
      <c r="AB43">
        <v>0</v>
      </c>
      <c r="AC43" s="5">
        <v>2002</v>
      </c>
      <c r="AD43" s="1">
        <v>2002</v>
      </c>
      <c r="AE43" s="6" t="s">
        <v>72</v>
      </c>
      <c r="AF43">
        <v>1</v>
      </c>
      <c r="AG43" t="s">
        <v>64</v>
      </c>
      <c r="AH43" s="1" t="s">
        <v>64</v>
      </c>
    </row>
    <row r="44" spans="1:34" ht="14.5">
      <c r="A44" t="s">
        <v>152</v>
      </c>
      <c r="B44" t="s">
        <v>153</v>
      </c>
      <c r="C44" s="24">
        <v>3</v>
      </c>
      <c r="D44" t="s">
        <v>38</v>
      </c>
      <c r="E44" t="s">
        <v>38</v>
      </c>
      <c r="F44" t="s">
        <v>39</v>
      </c>
      <c r="G44" t="s">
        <v>40</v>
      </c>
      <c r="H44" t="s">
        <v>91</v>
      </c>
      <c r="I44" t="s">
        <v>92</v>
      </c>
      <c r="J44" t="s">
        <v>42</v>
      </c>
      <c r="K44" t="s">
        <v>42</v>
      </c>
      <c r="L44" t="s">
        <v>42</v>
      </c>
      <c r="M44" s="1" t="s">
        <v>42</v>
      </c>
      <c r="N44" s="39" t="s">
        <v>132</v>
      </c>
      <c r="O44" t="s">
        <v>86</v>
      </c>
      <c r="P44" s="39" t="s">
        <v>132</v>
      </c>
      <c r="Q44" t="s">
        <v>161</v>
      </c>
      <c r="R44" t="s">
        <v>162</v>
      </c>
      <c r="S44" t="s">
        <v>88</v>
      </c>
      <c r="T44" t="s">
        <v>42</v>
      </c>
      <c r="U44" t="s">
        <v>42</v>
      </c>
      <c r="V44" t="s">
        <v>42</v>
      </c>
      <c r="W44" s="8" t="s">
        <v>64</v>
      </c>
      <c r="X44" t="s">
        <v>42</v>
      </c>
      <c r="Y44" s="8">
        <v>1</v>
      </c>
      <c r="Z44">
        <v>2</v>
      </c>
      <c r="AA44">
        <v>0</v>
      </c>
      <c r="AB44">
        <v>0</v>
      </c>
      <c r="AC44" s="5">
        <v>2002</v>
      </c>
      <c r="AD44" s="1">
        <v>2002</v>
      </c>
      <c r="AE44" s="6" t="s">
        <v>72</v>
      </c>
      <c r="AF44">
        <v>1</v>
      </c>
      <c r="AG44" t="s">
        <v>64</v>
      </c>
      <c r="AH44" s="1" t="s">
        <v>64</v>
      </c>
    </row>
    <row r="45" spans="1:34" ht="14.5">
      <c r="A45" t="s">
        <v>152</v>
      </c>
      <c r="B45" t="s">
        <v>153</v>
      </c>
      <c r="C45" s="24">
        <v>4</v>
      </c>
      <c r="D45" t="s">
        <v>38</v>
      </c>
      <c r="E45" t="s">
        <v>38</v>
      </c>
      <c r="F45" t="s">
        <v>39</v>
      </c>
      <c r="G45" t="s">
        <v>40</v>
      </c>
      <c r="H45" t="s">
        <v>91</v>
      </c>
      <c r="I45" t="s">
        <v>92</v>
      </c>
      <c r="J45" t="s">
        <v>42</v>
      </c>
      <c r="K45" t="s">
        <v>42</v>
      </c>
      <c r="L45" t="s">
        <v>42</v>
      </c>
      <c r="M45" s="1" t="s">
        <v>42</v>
      </c>
      <c r="N45" s="39" t="s">
        <v>52</v>
      </c>
      <c r="O45" t="s">
        <v>86</v>
      </c>
      <c r="P45" s="39" t="s">
        <v>52</v>
      </c>
      <c r="Q45" t="s">
        <v>94</v>
      </c>
      <c r="R45" t="s">
        <v>163</v>
      </c>
      <c r="S45" t="s">
        <v>164</v>
      </c>
      <c r="T45" t="s">
        <v>42</v>
      </c>
      <c r="U45" t="s">
        <v>42</v>
      </c>
      <c r="V45" t="s">
        <v>42</v>
      </c>
      <c r="W45" s="8" t="s">
        <v>64</v>
      </c>
      <c r="X45" t="s">
        <v>42</v>
      </c>
      <c r="Y45" s="8">
        <v>1</v>
      </c>
      <c r="Z45">
        <v>2</v>
      </c>
      <c r="AA45">
        <v>0</v>
      </c>
      <c r="AB45">
        <v>0</v>
      </c>
      <c r="AC45" s="5">
        <v>2002</v>
      </c>
      <c r="AD45" s="1">
        <v>2002</v>
      </c>
      <c r="AE45" s="6" t="s">
        <v>72</v>
      </c>
      <c r="AF45">
        <v>1</v>
      </c>
      <c r="AG45" t="s">
        <v>64</v>
      </c>
      <c r="AH45" s="1" t="s">
        <v>64</v>
      </c>
    </row>
    <row r="46" spans="1:34" ht="14.5">
      <c r="A46" t="s">
        <v>152</v>
      </c>
      <c r="B46" t="s">
        <v>153</v>
      </c>
      <c r="C46" s="24">
        <v>5</v>
      </c>
      <c r="D46" t="s">
        <v>38</v>
      </c>
      <c r="E46" t="s">
        <v>38</v>
      </c>
      <c r="F46" t="s">
        <v>39</v>
      </c>
      <c r="G46" t="s">
        <v>40</v>
      </c>
      <c r="H46" t="s">
        <v>91</v>
      </c>
      <c r="I46" t="s">
        <v>92</v>
      </c>
      <c r="J46" t="s">
        <v>42</v>
      </c>
      <c r="K46" t="s">
        <v>42</v>
      </c>
      <c r="L46" t="s">
        <v>42</v>
      </c>
      <c r="M46" s="1" t="s">
        <v>42</v>
      </c>
      <c r="N46" s="39" t="s">
        <v>52</v>
      </c>
      <c r="O46" t="s">
        <v>86</v>
      </c>
      <c r="P46" s="39" t="s">
        <v>52</v>
      </c>
      <c r="Q46" t="s">
        <v>165</v>
      </c>
      <c r="R46" t="s">
        <v>166</v>
      </c>
      <c r="S46" t="s">
        <v>167</v>
      </c>
      <c r="T46" t="s">
        <v>42</v>
      </c>
      <c r="U46" t="s">
        <v>42</v>
      </c>
      <c r="V46" t="s">
        <v>42</v>
      </c>
      <c r="W46" s="8" t="s">
        <v>64</v>
      </c>
      <c r="X46" t="s">
        <v>42</v>
      </c>
      <c r="Y46" s="8">
        <v>1</v>
      </c>
      <c r="Z46">
        <v>2</v>
      </c>
      <c r="AA46">
        <v>0</v>
      </c>
      <c r="AB46">
        <v>0</v>
      </c>
      <c r="AC46" s="5">
        <v>2002</v>
      </c>
      <c r="AD46" s="1">
        <v>2002</v>
      </c>
      <c r="AE46" s="6" t="s">
        <v>72</v>
      </c>
      <c r="AF46">
        <v>1</v>
      </c>
      <c r="AG46" t="s">
        <v>64</v>
      </c>
      <c r="AH46" s="1" t="s">
        <v>64</v>
      </c>
    </row>
    <row r="47" spans="1:34" ht="14.5">
      <c r="A47" t="s">
        <v>152</v>
      </c>
      <c r="B47" t="s">
        <v>153</v>
      </c>
      <c r="C47" s="24">
        <v>6</v>
      </c>
      <c r="D47" t="s">
        <v>38</v>
      </c>
      <c r="E47" t="s">
        <v>38</v>
      </c>
      <c r="F47" t="s">
        <v>39</v>
      </c>
      <c r="G47" t="s">
        <v>40</v>
      </c>
      <c r="H47" t="s">
        <v>91</v>
      </c>
      <c r="I47" t="s">
        <v>92</v>
      </c>
      <c r="J47" t="s">
        <v>42</v>
      </c>
      <c r="K47" t="s">
        <v>42</v>
      </c>
      <c r="L47" t="s">
        <v>42</v>
      </c>
      <c r="M47" s="1" t="s">
        <v>42</v>
      </c>
      <c r="N47" s="39" t="s">
        <v>168</v>
      </c>
      <c r="O47" t="s">
        <v>86</v>
      </c>
      <c r="P47" s="39" t="s">
        <v>169</v>
      </c>
      <c r="Q47" t="s">
        <v>170</v>
      </c>
      <c r="R47" t="s">
        <v>171</v>
      </c>
      <c r="S47" t="s">
        <v>88</v>
      </c>
      <c r="T47" t="s">
        <v>42</v>
      </c>
      <c r="U47" t="s">
        <v>42</v>
      </c>
      <c r="V47" t="s">
        <v>42</v>
      </c>
      <c r="W47" s="8" t="s">
        <v>64</v>
      </c>
      <c r="X47" t="s">
        <v>42</v>
      </c>
      <c r="Y47" s="8">
        <v>1</v>
      </c>
      <c r="Z47">
        <v>2</v>
      </c>
      <c r="AA47">
        <v>0</v>
      </c>
      <c r="AB47">
        <v>0</v>
      </c>
      <c r="AC47" s="5">
        <v>2002</v>
      </c>
      <c r="AD47" s="1">
        <v>2002</v>
      </c>
      <c r="AE47" s="6" t="s">
        <v>72</v>
      </c>
      <c r="AF47">
        <v>1</v>
      </c>
      <c r="AG47" t="s">
        <v>64</v>
      </c>
      <c r="AH47" s="1" t="s">
        <v>64</v>
      </c>
    </row>
    <row r="48" spans="1:34" ht="18" customHeight="1">
      <c r="A48" t="s">
        <v>152</v>
      </c>
      <c r="B48" t="s">
        <v>153</v>
      </c>
      <c r="C48" s="24">
        <v>7</v>
      </c>
      <c r="D48" t="s">
        <v>38</v>
      </c>
      <c r="E48" t="s">
        <v>38</v>
      </c>
      <c r="F48" t="s">
        <v>39</v>
      </c>
      <c r="G48" t="s">
        <v>40</v>
      </c>
      <c r="H48" t="s">
        <v>91</v>
      </c>
      <c r="I48" t="s">
        <v>92</v>
      </c>
      <c r="J48" t="s">
        <v>42</v>
      </c>
      <c r="K48" t="s">
        <v>42</v>
      </c>
      <c r="L48" t="s">
        <v>42</v>
      </c>
      <c r="M48" s="1" t="s">
        <v>42</v>
      </c>
      <c r="N48" s="39" t="s">
        <v>168</v>
      </c>
      <c r="O48" t="s">
        <v>44</v>
      </c>
      <c r="P48" s="39" t="s">
        <v>169</v>
      </c>
      <c r="Q48" t="s">
        <v>172</v>
      </c>
      <c r="R48" t="s">
        <v>173</v>
      </c>
      <c r="S48" s="7" t="s">
        <v>88</v>
      </c>
      <c r="T48" t="s">
        <v>42</v>
      </c>
      <c r="U48" t="s">
        <v>42</v>
      </c>
      <c r="V48" t="s">
        <v>42</v>
      </c>
      <c r="W48" s="8" t="s">
        <v>50</v>
      </c>
      <c r="X48" t="s">
        <v>174</v>
      </c>
      <c r="Y48" s="8">
        <v>1</v>
      </c>
      <c r="Z48">
        <v>2</v>
      </c>
      <c r="AA48">
        <v>0</v>
      </c>
      <c r="AB48">
        <v>0</v>
      </c>
      <c r="AC48" s="5">
        <v>2002</v>
      </c>
      <c r="AD48" s="1">
        <v>2002</v>
      </c>
      <c r="AE48" s="6" t="s">
        <v>72</v>
      </c>
      <c r="AF48">
        <v>1</v>
      </c>
      <c r="AG48" t="s">
        <v>64</v>
      </c>
      <c r="AH48" s="1" t="s">
        <v>64</v>
      </c>
    </row>
    <row r="49" spans="1:34" ht="15.65" customHeight="1">
      <c r="A49" t="s">
        <v>152</v>
      </c>
      <c r="B49" t="s">
        <v>153</v>
      </c>
      <c r="C49" s="24">
        <v>8</v>
      </c>
      <c r="D49" t="s">
        <v>38</v>
      </c>
      <c r="E49" t="s">
        <v>38</v>
      </c>
      <c r="F49" t="s">
        <v>39</v>
      </c>
      <c r="G49" t="s">
        <v>40</v>
      </c>
      <c r="H49" t="s">
        <v>91</v>
      </c>
      <c r="I49" t="s">
        <v>92</v>
      </c>
      <c r="J49" t="s">
        <v>42</v>
      </c>
      <c r="K49" t="s">
        <v>42</v>
      </c>
      <c r="L49" t="s">
        <v>42</v>
      </c>
      <c r="M49" t="s">
        <v>42</v>
      </c>
      <c r="N49" s="39" t="s">
        <v>168</v>
      </c>
      <c r="O49" t="s">
        <v>86</v>
      </c>
      <c r="P49" s="39" t="s">
        <v>169</v>
      </c>
      <c r="Q49" t="s">
        <v>175</v>
      </c>
      <c r="R49" t="s">
        <v>176</v>
      </c>
      <c r="S49" t="s">
        <v>88</v>
      </c>
      <c r="T49" t="s">
        <v>42</v>
      </c>
      <c r="U49" t="s">
        <v>42</v>
      </c>
      <c r="V49" t="s">
        <v>42</v>
      </c>
      <c r="W49" s="8" t="s">
        <v>64</v>
      </c>
      <c r="X49" t="s">
        <v>42</v>
      </c>
      <c r="Y49" s="8">
        <v>1</v>
      </c>
      <c r="Z49">
        <v>2</v>
      </c>
      <c r="AA49">
        <v>0</v>
      </c>
      <c r="AB49">
        <v>0</v>
      </c>
      <c r="AC49" s="5">
        <v>2002</v>
      </c>
      <c r="AD49" s="1">
        <v>2002</v>
      </c>
      <c r="AE49" s="6" t="s">
        <v>72</v>
      </c>
      <c r="AF49">
        <v>1</v>
      </c>
      <c r="AG49" t="s">
        <v>64</v>
      </c>
      <c r="AH49" s="1" t="s">
        <v>64</v>
      </c>
    </row>
    <row r="50" spans="1:34" s="9" customFormat="1" ht="14.5">
      <c r="A50" s="9" t="s">
        <v>152</v>
      </c>
      <c r="B50" s="9" t="s">
        <v>153</v>
      </c>
      <c r="C50" s="25">
        <v>9</v>
      </c>
      <c r="D50" s="9" t="s">
        <v>38</v>
      </c>
      <c r="E50" s="9" t="s">
        <v>38</v>
      </c>
      <c r="F50" s="9" t="s">
        <v>39</v>
      </c>
      <c r="G50" s="9" t="s">
        <v>40</v>
      </c>
      <c r="H50" s="9" t="s">
        <v>91</v>
      </c>
      <c r="I50" s="9" t="s">
        <v>92</v>
      </c>
      <c r="J50" s="9" t="s">
        <v>42</v>
      </c>
      <c r="K50" s="9" t="s">
        <v>42</v>
      </c>
      <c r="L50" s="9" t="s">
        <v>42</v>
      </c>
      <c r="M50" s="9" t="s">
        <v>42</v>
      </c>
      <c r="N50" s="40" t="s">
        <v>43</v>
      </c>
      <c r="O50" s="9" t="s">
        <v>44</v>
      </c>
      <c r="P50" s="40" t="s">
        <v>43</v>
      </c>
      <c r="Q50" s="9" t="s">
        <v>94</v>
      </c>
      <c r="R50" s="9" t="s">
        <v>163</v>
      </c>
      <c r="S50" s="9" t="s">
        <v>136</v>
      </c>
      <c r="T50" s="9" t="s">
        <v>42</v>
      </c>
      <c r="U50" s="9" t="s">
        <v>42</v>
      </c>
      <c r="V50" s="9" t="s">
        <v>42</v>
      </c>
      <c r="W50" s="11" t="s">
        <v>50</v>
      </c>
      <c r="X50" s="9" t="s">
        <v>85</v>
      </c>
      <c r="Y50" s="11">
        <v>1</v>
      </c>
      <c r="Z50" s="9">
        <v>2</v>
      </c>
      <c r="AA50" s="9">
        <v>0</v>
      </c>
      <c r="AB50" s="9">
        <v>0</v>
      </c>
      <c r="AC50" s="12">
        <v>2002</v>
      </c>
      <c r="AD50" s="10">
        <v>2002</v>
      </c>
      <c r="AE50" s="13" t="s">
        <v>72</v>
      </c>
      <c r="AF50" s="9">
        <v>1</v>
      </c>
      <c r="AG50" s="9" t="s">
        <v>64</v>
      </c>
      <c r="AH50" s="10" t="s">
        <v>64</v>
      </c>
    </row>
    <row r="51" spans="1:34" ht="14.5" customHeight="1">
      <c r="A51" t="s">
        <v>177</v>
      </c>
      <c r="B51" t="s">
        <v>178</v>
      </c>
      <c r="C51" s="24">
        <v>1</v>
      </c>
      <c r="D51" t="s">
        <v>38</v>
      </c>
      <c r="E51" t="s">
        <v>38</v>
      </c>
      <c r="F51" t="s">
        <v>39</v>
      </c>
      <c r="G51" t="s">
        <v>40</v>
      </c>
      <c r="H51" t="s">
        <v>91</v>
      </c>
      <c r="I51" t="s">
        <v>92</v>
      </c>
      <c r="J51" t="s">
        <v>42</v>
      </c>
      <c r="K51" t="s">
        <v>42</v>
      </c>
      <c r="L51" t="s">
        <v>42</v>
      </c>
      <c r="M51" s="1" t="s">
        <v>42</v>
      </c>
      <c r="N51" s="39" t="s">
        <v>52</v>
      </c>
      <c r="O51" t="s">
        <v>44</v>
      </c>
      <c r="P51" s="39" t="s">
        <v>52</v>
      </c>
      <c r="Q51" t="s">
        <v>165</v>
      </c>
      <c r="R51" t="s">
        <v>176</v>
      </c>
      <c r="S51" t="s">
        <v>167</v>
      </c>
      <c r="T51" t="s">
        <v>42</v>
      </c>
      <c r="U51" t="s">
        <v>42</v>
      </c>
      <c r="V51" t="s">
        <v>42</v>
      </c>
      <c r="W51" s="8" t="s">
        <v>50</v>
      </c>
      <c r="X51" t="s">
        <v>85</v>
      </c>
      <c r="Y51" s="8">
        <v>1</v>
      </c>
      <c r="Z51">
        <v>2</v>
      </c>
      <c r="AA51">
        <v>0</v>
      </c>
      <c r="AB51">
        <v>1</v>
      </c>
      <c r="AC51" s="5">
        <v>2001</v>
      </c>
      <c r="AD51" s="1">
        <v>2002</v>
      </c>
      <c r="AE51" s="6">
        <f t="shared" ref="AE51:AE60" si="1">AD51-AC51</f>
        <v>1</v>
      </c>
      <c r="AF51">
        <v>1</v>
      </c>
      <c r="AG51" t="s">
        <v>64</v>
      </c>
      <c r="AH51" s="1" t="s">
        <v>64</v>
      </c>
    </row>
    <row r="52" spans="1:34" ht="14.5">
      <c r="A52" t="s">
        <v>177</v>
      </c>
      <c r="B52" t="s">
        <v>178</v>
      </c>
      <c r="C52" s="24">
        <v>2</v>
      </c>
      <c r="D52" t="s">
        <v>38</v>
      </c>
      <c r="E52" t="s">
        <v>38</v>
      </c>
      <c r="F52" t="s">
        <v>39</v>
      </c>
      <c r="G52" t="s">
        <v>40</v>
      </c>
      <c r="H52" t="s">
        <v>91</v>
      </c>
      <c r="I52" t="s">
        <v>92</v>
      </c>
      <c r="J52" t="s">
        <v>42</v>
      </c>
      <c r="K52" t="s">
        <v>42</v>
      </c>
      <c r="L52" t="s">
        <v>42</v>
      </c>
      <c r="M52" s="1" t="s">
        <v>42</v>
      </c>
      <c r="N52" s="39" t="s">
        <v>52</v>
      </c>
      <c r="O52" t="s">
        <v>44</v>
      </c>
      <c r="P52" s="39" t="s">
        <v>52</v>
      </c>
      <c r="Q52" t="s">
        <v>94</v>
      </c>
      <c r="R52" t="s">
        <v>163</v>
      </c>
      <c r="S52" t="s">
        <v>164</v>
      </c>
      <c r="T52" t="s">
        <v>42</v>
      </c>
      <c r="U52" t="s">
        <v>42</v>
      </c>
      <c r="V52" t="s">
        <v>42</v>
      </c>
      <c r="W52" s="8" t="s">
        <v>50</v>
      </c>
      <c r="X52" t="s">
        <v>85</v>
      </c>
      <c r="Y52" s="8">
        <v>1</v>
      </c>
      <c r="Z52">
        <v>2</v>
      </c>
      <c r="AA52">
        <v>0</v>
      </c>
      <c r="AB52">
        <v>1</v>
      </c>
      <c r="AC52" s="5">
        <v>2001</v>
      </c>
      <c r="AD52" s="1">
        <v>2002</v>
      </c>
      <c r="AE52" s="6">
        <f t="shared" si="1"/>
        <v>1</v>
      </c>
      <c r="AF52">
        <v>1</v>
      </c>
      <c r="AG52" t="s">
        <v>64</v>
      </c>
      <c r="AH52" s="1" t="s">
        <v>64</v>
      </c>
    </row>
    <row r="53" spans="1:34" ht="14.5">
      <c r="A53" t="s">
        <v>177</v>
      </c>
      <c r="B53" t="s">
        <v>178</v>
      </c>
      <c r="C53" s="24">
        <v>3</v>
      </c>
      <c r="D53" t="s">
        <v>38</v>
      </c>
      <c r="E53" t="s">
        <v>38</v>
      </c>
      <c r="F53" t="s">
        <v>39</v>
      </c>
      <c r="G53" t="s">
        <v>40</v>
      </c>
      <c r="H53" t="s">
        <v>91</v>
      </c>
      <c r="I53" t="s">
        <v>92</v>
      </c>
      <c r="J53" t="s">
        <v>42</v>
      </c>
      <c r="K53" t="s">
        <v>42</v>
      </c>
      <c r="L53" t="s">
        <v>42</v>
      </c>
      <c r="M53" s="1" t="s">
        <v>42</v>
      </c>
      <c r="N53" s="39" t="s">
        <v>43</v>
      </c>
      <c r="O53" t="s">
        <v>44</v>
      </c>
      <c r="P53" s="39" t="s">
        <v>132</v>
      </c>
      <c r="Q53" t="s">
        <v>161</v>
      </c>
      <c r="R53" t="s">
        <v>162</v>
      </c>
      <c r="S53" t="s">
        <v>88</v>
      </c>
      <c r="T53" t="s">
        <v>42</v>
      </c>
      <c r="U53" t="s">
        <v>42</v>
      </c>
      <c r="V53" t="s">
        <v>42</v>
      </c>
      <c r="W53" s="8" t="s">
        <v>50</v>
      </c>
      <c r="X53" t="s">
        <v>85</v>
      </c>
      <c r="Y53" s="8">
        <v>1</v>
      </c>
      <c r="Z53">
        <v>2</v>
      </c>
      <c r="AA53">
        <v>0</v>
      </c>
      <c r="AB53">
        <v>1</v>
      </c>
      <c r="AC53" s="5">
        <v>2001</v>
      </c>
      <c r="AD53" s="1">
        <v>2002</v>
      </c>
      <c r="AE53" s="6">
        <f t="shared" si="1"/>
        <v>1</v>
      </c>
      <c r="AF53">
        <v>1</v>
      </c>
      <c r="AG53" t="s">
        <v>64</v>
      </c>
      <c r="AH53" s="1" t="s">
        <v>64</v>
      </c>
    </row>
    <row r="54" spans="1:34" ht="14.5">
      <c r="A54" t="s">
        <v>177</v>
      </c>
      <c r="B54" t="s">
        <v>178</v>
      </c>
      <c r="C54" s="24">
        <v>4</v>
      </c>
      <c r="D54" t="s">
        <v>38</v>
      </c>
      <c r="E54" t="s">
        <v>38</v>
      </c>
      <c r="F54" t="s">
        <v>39</v>
      </c>
      <c r="G54" t="s">
        <v>40</v>
      </c>
      <c r="H54" t="s">
        <v>91</v>
      </c>
      <c r="I54" t="s">
        <v>92</v>
      </c>
      <c r="J54" t="s">
        <v>42</v>
      </c>
      <c r="K54" t="s">
        <v>42</v>
      </c>
      <c r="L54" t="s">
        <v>42</v>
      </c>
      <c r="M54" s="1" t="s">
        <v>42</v>
      </c>
      <c r="N54" s="39" t="s">
        <v>43</v>
      </c>
      <c r="O54" t="s">
        <v>44</v>
      </c>
      <c r="P54" s="39" t="s">
        <v>179</v>
      </c>
      <c r="Q54" t="s">
        <v>94</v>
      </c>
      <c r="R54" t="s">
        <v>163</v>
      </c>
      <c r="S54" t="s">
        <v>136</v>
      </c>
      <c r="T54" t="s">
        <v>42</v>
      </c>
      <c r="U54" t="s">
        <v>42</v>
      </c>
      <c r="V54" t="s">
        <v>42</v>
      </c>
      <c r="W54" s="8" t="s">
        <v>50</v>
      </c>
      <c r="X54" t="s">
        <v>85</v>
      </c>
      <c r="Y54" s="8">
        <v>1</v>
      </c>
      <c r="Z54">
        <v>2</v>
      </c>
      <c r="AA54">
        <v>0</v>
      </c>
      <c r="AB54">
        <v>1</v>
      </c>
      <c r="AC54" s="5">
        <v>2001</v>
      </c>
      <c r="AD54" s="1">
        <v>2002</v>
      </c>
      <c r="AE54" s="6">
        <f t="shared" si="1"/>
        <v>1</v>
      </c>
      <c r="AF54">
        <v>1</v>
      </c>
      <c r="AG54" t="s">
        <v>64</v>
      </c>
      <c r="AH54" s="1" t="s">
        <v>64</v>
      </c>
    </row>
    <row r="55" spans="1:34" ht="14.5">
      <c r="A55" t="s">
        <v>177</v>
      </c>
      <c r="B55" t="s">
        <v>178</v>
      </c>
      <c r="C55" s="24">
        <v>5</v>
      </c>
      <c r="D55" t="s">
        <v>38</v>
      </c>
      <c r="E55" t="s">
        <v>38</v>
      </c>
      <c r="F55" t="s">
        <v>39</v>
      </c>
      <c r="G55" t="s">
        <v>40</v>
      </c>
      <c r="H55" t="s">
        <v>91</v>
      </c>
      <c r="I55" t="s">
        <v>92</v>
      </c>
      <c r="J55" t="s">
        <v>42</v>
      </c>
      <c r="K55" t="s">
        <v>42</v>
      </c>
      <c r="L55" t="s">
        <v>42</v>
      </c>
      <c r="M55" s="1" t="s">
        <v>42</v>
      </c>
      <c r="N55" s="39" t="s">
        <v>43</v>
      </c>
      <c r="O55" t="s">
        <v>86</v>
      </c>
      <c r="P55" s="39" t="s">
        <v>180</v>
      </c>
      <c r="Q55" t="s">
        <v>165</v>
      </c>
      <c r="R55" t="s">
        <v>166</v>
      </c>
      <c r="S55" t="s">
        <v>48</v>
      </c>
      <c r="T55" t="s">
        <v>42</v>
      </c>
      <c r="U55" t="s">
        <v>42</v>
      </c>
      <c r="V55" t="s">
        <v>42</v>
      </c>
      <c r="W55" s="8" t="s">
        <v>64</v>
      </c>
      <c r="X55" t="s">
        <v>42</v>
      </c>
      <c r="Y55" s="8">
        <v>1</v>
      </c>
      <c r="Z55">
        <v>2</v>
      </c>
      <c r="AA55">
        <v>0</v>
      </c>
      <c r="AB55">
        <v>1</v>
      </c>
      <c r="AC55" s="5">
        <v>2001</v>
      </c>
      <c r="AD55" s="1">
        <v>2002</v>
      </c>
      <c r="AE55" s="6">
        <f t="shared" si="1"/>
        <v>1</v>
      </c>
      <c r="AF55">
        <v>1</v>
      </c>
      <c r="AG55" t="s">
        <v>64</v>
      </c>
      <c r="AH55" s="1" t="s">
        <v>64</v>
      </c>
    </row>
    <row r="56" spans="1:34" ht="14.5">
      <c r="A56" t="s">
        <v>177</v>
      </c>
      <c r="B56" t="s">
        <v>178</v>
      </c>
      <c r="C56" s="24">
        <v>6</v>
      </c>
      <c r="D56" t="s">
        <v>38</v>
      </c>
      <c r="E56" t="s">
        <v>38</v>
      </c>
      <c r="F56" t="s">
        <v>39</v>
      </c>
      <c r="G56" t="s">
        <v>40</v>
      </c>
      <c r="H56" t="s">
        <v>91</v>
      </c>
      <c r="I56" t="s">
        <v>92</v>
      </c>
      <c r="J56" t="s">
        <v>42</v>
      </c>
      <c r="K56" t="s">
        <v>42</v>
      </c>
      <c r="L56" t="s">
        <v>42</v>
      </c>
      <c r="M56" s="1" t="s">
        <v>42</v>
      </c>
      <c r="N56" s="39" t="s">
        <v>168</v>
      </c>
      <c r="O56" t="s">
        <v>44</v>
      </c>
      <c r="P56" s="39" t="s">
        <v>169</v>
      </c>
      <c r="Q56" t="s">
        <v>175</v>
      </c>
      <c r="R56" t="s">
        <v>176</v>
      </c>
      <c r="S56" t="s">
        <v>88</v>
      </c>
      <c r="T56" t="s">
        <v>42</v>
      </c>
      <c r="U56" t="s">
        <v>42</v>
      </c>
      <c r="V56" t="s">
        <v>42</v>
      </c>
      <c r="W56" s="8" t="s">
        <v>50</v>
      </c>
      <c r="X56" t="s">
        <v>174</v>
      </c>
      <c r="Y56" s="8">
        <v>1</v>
      </c>
      <c r="Z56">
        <v>2</v>
      </c>
      <c r="AA56">
        <v>0</v>
      </c>
      <c r="AB56">
        <v>1</v>
      </c>
      <c r="AC56" s="5">
        <v>2001</v>
      </c>
      <c r="AD56" s="1">
        <v>2002</v>
      </c>
      <c r="AE56" s="6">
        <f t="shared" si="1"/>
        <v>1</v>
      </c>
      <c r="AF56">
        <v>1</v>
      </c>
      <c r="AG56" t="s">
        <v>64</v>
      </c>
      <c r="AH56" s="1" t="s">
        <v>64</v>
      </c>
    </row>
    <row r="57" spans="1:34" ht="14.5">
      <c r="A57" t="s">
        <v>177</v>
      </c>
      <c r="B57" t="s">
        <v>178</v>
      </c>
      <c r="C57" s="24">
        <v>7</v>
      </c>
      <c r="D57" t="s">
        <v>38</v>
      </c>
      <c r="E57" t="s">
        <v>38</v>
      </c>
      <c r="F57" t="s">
        <v>39</v>
      </c>
      <c r="G57" t="s">
        <v>40</v>
      </c>
      <c r="H57" t="s">
        <v>91</v>
      </c>
      <c r="I57" t="s">
        <v>92</v>
      </c>
      <c r="J57" t="s">
        <v>42</v>
      </c>
      <c r="K57" t="s">
        <v>42</v>
      </c>
      <c r="L57" t="s">
        <v>42</v>
      </c>
      <c r="M57" s="1" t="s">
        <v>42</v>
      </c>
      <c r="N57" s="39" t="s">
        <v>168</v>
      </c>
      <c r="O57" t="s">
        <v>44</v>
      </c>
      <c r="P57" s="39" t="s">
        <v>169</v>
      </c>
      <c r="Q57" t="s">
        <v>175</v>
      </c>
      <c r="R57" t="s">
        <v>176</v>
      </c>
      <c r="S57" t="s">
        <v>181</v>
      </c>
      <c r="T57" t="s">
        <v>42</v>
      </c>
      <c r="U57" t="s">
        <v>42</v>
      </c>
      <c r="V57" t="s">
        <v>42</v>
      </c>
      <c r="W57" s="8" t="s">
        <v>50</v>
      </c>
      <c r="X57" t="s">
        <v>85</v>
      </c>
      <c r="Y57" s="8">
        <v>1</v>
      </c>
      <c r="Z57">
        <v>2</v>
      </c>
      <c r="AA57">
        <v>0</v>
      </c>
      <c r="AB57">
        <v>1</v>
      </c>
      <c r="AC57" s="5">
        <v>2001</v>
      </c>
      <c r="AD57" s="1">
        <v>2002</v>
      </c>
      <c r="AE57" s="6">
        <f t="shared" si="1"/>
        <v>1</v>
      </c>
      <c r="AF57">
        <v>1</v>
      </c>
      <c r="AG57" t="s">
        <v>64</v>
      </c>
      <c r="AH57" s="1" t="s">
        <v>64</v>
      </c>
    </row>
    <row r="58" spans="1:34" ht="14.5">
      <c r="A58" t="s">
        <v>177</v>
      </c>
      <c r="B58" t="s">
        <v>178</v>
      </c>
      <c r="C58" s="24">
        <v>8</v>
      </c>
      <c r="D58" t="s">
        <v>38</v>
      </c>
      <c r="E58" t="s">
        <v>38</v>
      </c>
      <c r="F58" t="s">
        <v>39</v>
      </c>
      <c r="G58" t="s">
        <v>40</v>
      </c>
      <c r="H58" t="s">
        <v>91</v>
      </c>
      <c r="I58" t="s">
        <v>92</v>
      </c>
      <c r="J58" t="s">
        <v>42</v>
      </c>
      <c r="K58" t="s">
        <v>42</v>
      </c>
      <c r="L58" t="s">
        <v>42</v>
      </c>
      <c r="M58" s="1" t="s">
        <v>42</v>
      </c>
      <c r="N58" s="39" t="s">
        <v>168</v>
      </c>
      <c r="O58" t="s">
        <v>44</v>
      </c>
      <c r="P58" s="39" t="s">
        <v>169</v>
      </c>
      <c r="Q58" t="s">
        <v>172</v>
      </c>
      <c r="R58" t="s">
        <v>173</v>
      </c>
      <c r="S58" t="s">
        <v>88</v>
      </c>
      <c r="T58" t="s">
        <v>42</v>
      </c>
      <c r="U58" t="s">
        <v>42</v>
      </c>
      <c r="V58" t="s">
        <v>42</v>
      </c>
      <c r="W58" s="8" t="s">
        <v>50</v>
      </c>
      <c r="X58" t="s">
        <v>174</v>
      </c>
      <c r="Y58" s="8">
        <v>1</v>
      </c>
      <c r="Z58">
        <v>2</v>
      </c>
      <c r="AA58">
        <v>0</v>
      </c>
      <c r="AB58">
        <v>1</v>
      </c>
      <c r="AC58" s="5">
        <v>2001</v>
      </c>
      <c r="AD58" s="1">
        <v>2002</v>
      </c>
      <c r="AE58" s="6">
        <f t="shared" si="1"/>
        <v>1</v>
      </c>
      <c r="AF58">
        <v>1</v>
      </c>
      <c r="AG58" t="s">
        <v>64</v>
      </c>
      <c r="AH58" s="1" t="s">
        <v>64</v>
      </c>
    </row>
    <row r="59" spans="1:34" ht="14.5">
      <c r="A59" t="s">
        <v>177</v>
      </c>
      <c r="B59" t="s">
        <v>178</v>
      </c>
      <c r="C59" s="24">
        <v>9</v>
      </c>
      <c r="D59" t="s">
        <v>38</v>
      </c>
      <c r="E59" t="s">
        <v>38</v>
      </c>
      <c r="F59" t="s">
        <v>39</v>
      </c>
      <c r="G59" t="s">
        <v>40</v>
      </c>
      <c r="H59" t="s">
        <v>91</v>
      </c>
      <c r="I59" t="s">
        <v>92</v>
      </c>
      <c r="J59" t="s">
        <v>42</v>
      </c>
      <c r="K59" t="s">
        <v>42</v>
      </c>
      <c r="L59" t="s">
        <v>42</v>
      </c>
      <c r="M59" s="1" t="s">
        <v>42</v>
      </c>
      <c r="N59" s="39" t="s">
        <v>168</v>
      </c>
      <c r="O59" t="s">
        <v>44</v>
      </c>
      <c r="P59" s="39" t="s">
        <v>169</v>
      </c>
      <c r="Q59" t="s">
        <v>172</v>
      </c>
      <c r="R59" t="s">
        <v>173</v>
      </c>
      <c r="S59" t="s">
        <v>181</v>
      </c>
      <c r="T59" t="s">
        <v>42</v>
      </c>
      <c r="U59" t="s">
        <v>42</v>
      </c>
      <c r="V59" t="s">
        <v>42</v>
      </c>
      <c r="W59" s="8" t="s">
        <v>50</v>
      </c>
      <c r="X59" t="s">
        <v>85</v>
      </c>
      <c r="Y59" s="8">
        <v>1</v>
      </c>
      <c r="Z59">
        <v>2</v>
      </c>
      <c r="AA59">
        <v>0</v>
      </c>
      <c r="AB59">
        <v>1</v>
      </c>
      <c r="AC59" s="5">
        <v>2001</v>
      </c>
      <c r="AD59" s="1">
        <v>2002</v>
      </c>
      <c r="AE59" s="6">
        <f t="shared" si="1"/>
        <v>1</v>
      </c>
      <c r="AF59">
        <v>1</v>
      </c>
      <c r="AG59" t="s">
        <v>64</v>
      </c>
      <c r="AH59" s="1" t="s">
        <v>64</v>
      </c>
    </row>
    <row r="60" spans="1:34" s="9" customFormat="1" ht="14.5">
      <c r="A60" s="9" t="s">
        <v>177</v>
      </c>
      <c r="B60" s="9" t="s">
        <v>178</v>
      </c>
      <c r="C60" s="25">
        <v>10</v>
      </c>
      <c r="D60" s="9" t="s">
        <v>38</v>
      </c>
      <c r="E60" s="9" t="s">
        <v>38</v>
      </c>
      <c r="F60" s="9" t="s">
        <v>39</v>
      </c>
      <c r="G60" s="9" t="s">
        <v>40</v>
      </c>
      <c r="H60" s="9" t="s">
        <v>91</v>
      </c>
      <c r="I60" s="9" t="s">
        <v>92</v>
      </c>
      <c r="J60" s="9" t="s">
        <v>42</v>
      </c>
      <c r="K60" s="9" t="s">
        <v>42</v>
      </c>
      <c r="L60" s="9" t="s">
        <v>42</v>
      </c>
      <c r="M60" s="10" t="s">
        <v>42</v>
      </c>
      <c r="N60" s="40" t="s">
        <v>168</v>
      </c>
      <c r="O60" s="9" t="s">
        <v>44</v>
      </c>
      <c r="P60" s="40" t="s">
        <v>169</v>
      </c>
      <c r="Q60" s="9" t="s">
        <v>170</v>
      </c>
      <c r="R60" s="9" t="s">
        <v>171</v>
      </c>
      <c r="S60" s="9" t="s">
        <v>88</v>
      </c>
      <c r="T60" s="9" t="s">
        <v>42</v>
      </c>
      <c r="U60" s="9" t="s">
        <v>42</v>
      </c>
      <c r="V60" s="9" t="s">
        <v>42</v>
      </c>
      <c r="W60" s="11" t="s">
        <v>50</v>
      </c>
      <c r="X60" s="9" t="s">
        <v>174</v>
      </c>
      <c r="Y60" s="11">
        <v>1</v>
      </c>
      <c r="Z60" s="9">
        <v>2</v>
      </c>
      <c r="AA60" s="9">
        <v>0</v>
      </c>
      <c r="AB60" s="9">
        <v>1</v>
      </c>
      <c r="AC60" s="12">
        <v>2001</v>
      </c>
      <c r="AD60" s="10">
        <v>2002</v>
      </c>
      <c r="AE60" s="13">
        <f t="shared" si="1"/>
        <v>1</v>
      </c>
      <c r="AF60" s="9">
        <v>1</v>
      </c>
      <c r="AG60" s="9" t="s">
        <v>64</v>
      </c>
      <c r="AH60" s="10" t="s">
        <v>64</v>
      </c>
    </row>
    <row r="61" spans="1:34" ht="14.5">
      <c r="A61" t="s">
        <v>182</v>
      </c>
      <c r="B61" t="s">
        <v>183</v>
      </c>
      <c r="C61" s="24">
        <v>1</v>
      </c>
      <c r="D61" t="s">
        <v>38</v>
      </c>
      <c r="E61" t="s">
        <v>38</v>
      </c>
      <c r="F61" t="s">
        <v>39</v>
      </c>
      <c r="G61" t="s">
        <v>184</v>
      </c>
      <c r="H61" t="s">
        <v>185</v>
      </c>
      <c r="I61" t="s">
        <v>42</v>
      </c>
      <c r="J61" t="s">
        <v>42</v>
      </c>
      <c r="K61" t="s">
        <v>42</v>
      </c>
      <c r="L61" t="s">
        <v>42</v>
      </c>
      <c r="M61" s="1" t="s">
        <v>42</v>
      </c>
      <c r="N61" s="39" t="s">
        <v>186</v>
      </c>
      <c r="O61" t="s">
        <v>187</v>
      </c>
      <c r="P61" s="39" t="s">
        <v>186</v>
      </c>
      <c r="Q61" t="s">
        <v>42</v>
      </c>
      <c r="R61" t="s">
        <v>42</v>
      </c>
      <c r="S61" t="s">
        <v>42</v>
      </c>
      <c r="T61" t="s">
        <v>42</v>
      </c>
      <c r="U61" t="s">
        <v>42</v>
      </c>
      <c r="V61" t="s">
        <v>42</v>
      </c>
      <c r="W61" s="8" t="s">
        <v>64</v>
      </c>
      <c r="X61" t="s">
        <v>42</v>
      </c>
      <c r="Y61" s="8">
        <v>1</v>
      </c>
      <c r="Z61">
        <v>1</v>
      </c>
      <c r="AA61">
        <v>0</v>
      </c>
      <c r="AB61">
        <v>0</v>
      </c>
      <c r="AC61" s="5">
        <v>2011</v>
      </c>
      <c r="AD61" s="1">
        <v>2011</v>
      </c>
      <c r="AE61" s="6" t="s">
        <v>72</v>
      </c>
      <c r="AF61">
        <v>1</v>
      </c>
      <c r="AG61" t="s">
        <v>64</v>
      </c>
      <c r="AH61" s="1" t="s">
        <v>64</v>
      </c>
    </row>
    <row r="62" spans="1:34" ht="14.5">
      <c r="A62" t="s">
        <v>182</v>
      </c>
      <c r="B62" t="s">
        <v>183</v>
      </c>
      <c r="C62" s="24">
        <v>2</v>
      </c>
      <c r="D62" t="s">
        <v>38</v>
      </c>
      <c r="E62" t="s">
        <v>38</v>
      </c>
      <c r="F62" t="s">
        <v>39</v>
      </c>
      <c r="G62" t="s">
        <v>40</v>
      </c>
      <c r="H62" t="s">
        <v>41</v>
      </c>
      <c r="I62" t="s">
        <v>42</v>
      </c>
      <c r="J62" t="s">
        <v>42</v>
      </c>
      <c r="K62" t="s">
        <v>42</v>
      </c>
      <c r="L62" t="s">
        <v>42</v>
      </c>
      <c r="M62" s="1" t="s">
        <v>42</v>
      </c>
      <c r="N62" s="39" t="s">
        <v>79</v>
      </c>
      <c r="O62" t="s">
        <v>44</v>
      </c>
      <c r="P62" s="39" t="s">
        <v>188</v>
      </c>
      <c r="Q62" t="s">
        <v>42</v>
      </c>
      <c r="R62" t="s">
        <v>42</v>
      </c>
      <c r="S62" t="s">
        <v>189</v>
      </c>
      <c r="T62" t="s">
        <v>42</v>
      </c>
      <c r="U62" t="s">
        <v>42</v>
      </c>
      <c r="V62" t="s">
        <v>42</v>
      </c>
      <c r="W62" s="8" t="s">
        <v>50</v>
      </c>
      <c r="X62" t="s">
        <v>85</v>
      </c>
      <c r="Y62" s="8">
        <v>1</v>
      </c>
      <c r="Z62">
        <v>1</v>
      </c>
      <c r="AA62">
        <v>0</v>
      </c>
      <c r="AB62">
        <v>0</v>
      </c>
      <c r="AC62" s="5">
        <v>2011</v>
      </c>
      <c r="AD62" s="1">
        <v>2011</v>
      </c>
      <c r="AE62" s="6" t="s">
        <v>72</v>
      </c>
      <c r="AF62">
        <v>1</v>
      </c>
      <c r="AG62" t="s">
        <v>64</v>
      </c>
      <c r="AH62" s="1" t="s">
        <v>64</v>
      </c>
    </row>
    <row r="63" spans="1:34" ht="14.5">
      <c r="A63" t="s">
        <v>182</v>
      </c>
      <c r="B63" t="s">
        <v>183</v>
      </c>
      <c r="C63" s="24">
        <v>3</v>
      </c>
      <c r="D63" t="s">
        <v>38</v>
      </c>
      <c r="E63" t="s">
        <v>38</v>
      </c>
      <c r="F63" t="s">
        <v>39</v>
      </c>
      <c r="G63" t="s">
        <v>40</v>
      </c>
      <c r="H63" t="s">
        <v>41</v>
      </c>
      <c r="I63" t="s">
        <v>42</v>
      </c>
      <c r="J63" t="s">
        <v>42</v>
      </c>
      <c r="K63" t="s">
        <v>42</v>
      </c>
      <c r="L63" t="s">
        <v>42</v>
      </c>
      <c r="M63" s="1" t="s">
        <v>42</v>
      </c>
      <c r="N63" s="39" t="s">
        <v>132</v>
      </c>
      <c r="O63" t="s">
        <v>86</v>
      </c>
      <c r="P63" s="39" t="s">
        <v>132</v>
      </c>
      <c r="Q63" t="s">
        <v>190</v>
      </c>
      <c r="R63">
        <v>12</v>
      </c>
      <c r="S63" t="s">
        <v>181</v>
      </c>
      <c r="T63" t="s">
        <v>42</v>
      </c>
      <c r="U63" t="s">
        <v>42</v>
      </c>
      <c r="V63" t="s">
        <v>42</v>
      </c>
      <c r="W63" s="8" t="s">
        <v>64</v>
      </c>
      <c r="X63" t="s">
        <v>42</v>
      </c>
      <c r="Y63" s="8">
        <v>1</v>
      </c>
      <c r="Z63">
        <v>1</v>
      </c>
      <c r="AA63">
        <v>0</v>
      </c>
      <c r="AB63">
        <v>0</v>
      </c>
      <c r="AC63" s="5">
        <v>2011</v>
      </c>
      <c r="AD63" s="1">
        <v>2011</v>
      </c>
      <c r="AE63" s="6" t="s">
        <v>72</v>
      </c>
      <c r="AF63">
        <v>1</v>
      </c>
      <c r="AG63" t="s">
        <v>64</v>
      </c>
      <c r="AH63" s="1" t="s">
        <v>64</v>
      </c>
    </row>
    <row r="64" spans="1:34" ht="14.5">
      <c r="A64" t="s">
        <v>182</v>
      </c>
      <c r="B64" t="s">
        <v>183</v>
      </c>
      <c r="C64" s="24">
        <v>4</v>
      </c>
      <c r="D64" t="s">
        <v>38</v>
      </c>
      <c r="E64" t="s">
        <v>38</v>
      </c>
      <c r="F64" t="s">
        <v>39</v>
      </c>
      <c r="G64" t="s">
        <v>40</v>
      </c>
      <c r="H64" t="s">
        <v>41</v>
      </c>
      <c r="I64" t="s">
        <v>42</v>
      </c>
      <c r="J64" t="s">
        <v>42</v>
      </c>
      <c r="K64" t="s">
        <v>42</v>
      </c>
      <c r="L64" t="s">
        <v>42</v>
      </c>
      <c r="M64" s="1" t="s">
        <v>42</v>
      </c>
      <c r="N64" s="39" t="s">
        <v>132</v>
      </c>
      <c r="O64" t="s">
        <v>86</v>
      </c>
      <c r="P64" s="39" t="s">
        <v>149</v>
      </c>
      <c r="Q64" t="s">
        <v>191</v>
      </c>
      <c r="R64" t="s">
        <v>192</v>
      </c>
      <c r="S64" t="s">
        <v>88</v>
      </c>
      <c r="T64" t="s">
        <v>42</v>
      </c>
      <c r="U64" t="s">
        <v>42</v>
      </c>
      <c r="V64" t="s">
        <v>42</v>
      </c>
      <c r="W64" s="8" t="s">
        <v>64</v>
      </c>
      <c r="X64" t="s">
        <v>42</v>
      </c>
      <c r="Y64" s="8">
        <v>1</v>
      </c>
      <c r="Z64">
        <v>1</v>
      </c>
      <c r="AA64">
        <v>0</v>
      </c>
      <c r="AB64">
        <v>0</v>
      </c>
      <c r="AC64" s="5">
        <v>2011</v>
      </c>
      <c r="AD64" s="1">
        <v>2011</v>
      </c>
      <c r="AE64" s="6" t="s">
        <v>72</v>
      </c>
      <c r="AF64">
        <v>1</v>
      </c>
      <c r="AG64" t="s">
        <v>64</v>
      </c>
      <c r="AH64" s="1" t="s">
        <v>64</v>
      </c>
    </row>
    <row r="65" spans="1:34" ht="14.5">
      <c r="A65" t="s">
        <v>182</v>
      </c>
      <c r="B65" t="s">
        <v>183</v>
      </c>
      <c r="C65" s="24">
        <v>5</v>
      </c>
      <c r="D65" t="s">
        <v>38</v>
      </c>
      <c r="E65" t="s">
        <v>38</v>
      </c>
      <c r="F65" t="s">
        <v>39</v>
      </c>
      <c r="G65" t="s">
        <v>40</v>
      </c>
      <c r="H65" t="s">
        <v>41</v>
      </c>
      <c r="I65" t="s">
        <v>42</v>
      </c>
      <c r="J65" t="s">
        <v>42</v>
      </c>
      <c r="K65" t="s">
        <v>42</v>
      </c>
      <c r="L65" t="s">
        <v>42</v>
      </c>
      <c r="M65" s="1" t="s">
        <v>42</v>
      </c>
      <c r="N65" s="39" t="s">
        <v>132</v>
      </c>
      <c r="O65" t="s">
        <v>86</v>
      </c>
      <c r="P65" s="39" t="s">
        <v>149</v>
      </c>
      <c r="Q65" t="s">
        <v>150</v>
      </c>
      <c r="R65" t="s">
        <v>42</v>
      </c>
      <c r="S65" t="s">
        <v>88</v>
      </c>
      <c r="T65" t="s">
        <v>42</v>
      </c>
      <c r="U65" t="s">
        <v>42</v>
      </c>
      <c r="V65" t="s">
        <v>42</v>
      </c>
      <c r="W65" s="8" t="s">
        <v>64</v>
      </c>
      <c r="X65" t="s">
        <v>42</v>
      </c>
      <c r="Y65" s="8">
        <v>1</v>
      </c>
      <c r="Z65">
        <v>1</v>
      </c>
      <c r="AA65">
        <v>0</v>
      </c>
      <c r="AB65">
        <v>0</v>
      </c>
      <c r="AC65" s="5">
        <v>2011</v>
      </c>
      <c r="AD65" s="1">
        <v>2011</v>
      </c>
      <c r="AE65" s="6" t="s">
        <v>72</v>
      </c>
      <c r="AF65">
        <v>1</v>
      </c>
      <c r="AG65" t="s">
        <v>64</v>
      </c>
      <c r="AH65" s="1" t="s">
        <v>64</v>
      </c>
    </row>
    <row r="66" spans="1:34" ht="14.5">
      <c r="A66" t="s">
        <v>182</v>
      </c>
      <c r="B66" t="s">
        <v>183</v>
      </c>
      <c r="C66" s="24">
        <v>6</v>
      </c>
      <c r="D66" t="s">
        <v>38</v>
      </c>
      <c r="E66" t="s">
        <v>38</v>
      </c>
      <c r="F66" t="s">
        <v>39</v>
      </c>
      <c r="G66" t="s">
        <v>40</v>
      </c>
      <c r="H66" t="s">
        <v>41</v>
      </c>
      <c r="I66" t="s">
        <v>42</v>
      </c>
      <c r="J66" t="s">
        <v>42</v>
      </c>
      <c r="K66" t="s">
        <v>42</v>
      </c>
      <c r="L66" t="s">
        <v>42</v>
      </c>
      <c r="M66" s="1" t="s">
        <v>42</v>
      </c>
      <c r="N66" s="39" t="s">
        <v>132</v>
      </c>
      <c r="O66" t="s">
        <v>86</v>
      </c>
      <c r="P66" s="39" t="s">
        <v>149</v>
      </c>
      <c r="Q66" t="s">
        <v>193</v>
      </c>
      <c r="R66" t="s">
        <v>194</v>
      </c>
      <c r="S66" t="s">
        <v>88</v>
      </c>
      <c r="T66" t="s">
        <v>42</v>
      </c>
      <c r="U66" t="s">
        <v>42</v>
      </c>
      <c r="V66" t="s">
        <v>42</v>
      </c>
      <c r="W66" s="8" t="s">
        <v>64</v>
      </c>
      <c r="X66" t="s">
        <v>42</v>
      </c>
      <c r="Y66" s="8">
        <v>1</v>
      </c>
      <c r="Z66">
        <v>1</v>
      </c>
      <c r="AA66">
        <v>0</v>
      </c>
      <c r="AB66">
        <v>0</v>
      </c>
      <c r="AC66" s="5">
        <v>2011</v>
      </c>
      <c r="AD66" s="1">
        <v>2011</v>
      </c>
      <c r="AE66" s="6" t="s">
        <v>72</v>
      </c>
      <c r="AF66">
        <v>1</v>
      </c>
      <c r="AG66" t="s">
        <v>64</v>
      </c>
      <c r="AH66" s="1" t="s">
        <v>64</v>
      </c>
    </row>
    <row r="67" spans="1:34" ht="14.5">
      <c r="A67" t="s">
        <v>182</v>
      </c>
      <c r="B67" t="s">
        <v>183</v>
      </c>
      <c r="C67" s="24">
        <v>7</v>
      </c>
      <c r="D67" t="s">
        <v>38</v>
      </c>
      <c r="E67" t="s">
        <v>38</v>
      </c>
      <c r="F67" t="s">
        <v>39</v>
      </c>
      <c r="G67" t="s">
        <v>40</v>
      </c>
      <c r="H67" t="s">
        <v>41</v>
      </c>
      <c r="I67" t="s">
        <v>42</v>
      </c>
      <c r="J67" t="s">
        <v>42</v>
      </c>
      <c r="K67" t="s">
        <v>42</v>
      </c>
      <c r="L67" t="s">
        <v>42</v>
      </c>
      <c r="M67" s="1" t="s">
        <v>42</v>
      </c>
      <c r="N67" s="39" t="s">
        <v>132</v>
      </c>
      <c r="O67" t="s">
        <v>86</v>
      </c>
      <c r="P67" s="39" t="s">
        <v>149</v>
      </c>
      <c r="Q67" t="s">
        <v>195</v>
      </c>
      <c r="S67" t="s">
        <v>88</v>
      </c>
      <c r="T67" t="s">
        <v>42</v>
      </c>
      <c r="U67" t="s">
        <v>42</v>
      </c>
      <c r="V67" t="s">
        <v>42</v>
      </c>
      <c r="W67" s="8" t="s">
        <v>64</v>
      </c>
      <c r="X67" t="s">
        <v>42</v>
      </c>
      <c r="Y67" s="8">
        <v>1</v>
      </c>
      <c r="Z67">
        <v>1</v>
      </c>
      <c r="AA67">
        <v>0</v>
      </c>
      <c r="AB67">
        <v>0</v>
      </c>
      <c r="AC67" s="5">
        <v>2011</v>
      </c>
      <c r="AD67" s="1">
        <v>2011</v>
      </c>
      <c r="AE67" s="6" t="s">
        <v>72</v>
      </c>
      <c r="AF67">
        <v>1</v>
      </c>
      <c r="AG67" t="s">
        <v>64</v>
      </c>
      <c r="AH67" s="1" t="s">
        <v>64</v>
      </c>
    </row>
    <row r="68" spans="1:34" ht="14.5">
      <c r="A68" t="s">
        <v>182</v>
      </c>
      <c r="B68" t="s">
        <v>183</v>
      </c>
      <c r="C68" s="24">
        <v>8</v>
      </c>
      <c r="D68" t="s">
        <v>38</v>
      </c>
      <c r="E68" t="s">
        <v>38</v>
      </c>
      <c r="F68" t="s">
        <v>39</v>
      </c>
      <c r="G68" t="s">
        <v>40</v>
      </c>
      <c r="H68" t="s">
        <v>41</v>
      </c>
      <c r="I68" t="s">
        <v>42</v>
      </c>
      <c r="J68" t="s">
        <v>42</v>
      </c>
      <c r="K68" t="s">
        <v>42</v>
      </c>
      <c r="L68" t="s">
        <v>42</v>
      </c>
      <c r="M68" s="1" t="s">
        <v>42</v>
      </c>
      <c r="N68" s="39" t="s">
        <v>132</v>
      </c>
      <c r="O68" t="s">
        <v>86</v>
      </c>
      <c r="P68" s="39" t="s">
        <v>149</v>
      </c>
      <c r="Q68" t="s">
        <v>196</v>
      </c>
      <c r="R68" t="s">
        <v>197</v>
      </c>
      <c r="S68" t="s">
        <v>88</v>
      </c>
      <c r="T68" t="s">
        <v>42</v>
      </c>
      <c r="U68" t="s">
        <v>42</v>
      </c>
      <c r="V68" t="s">
        <v>42</v>
      </c>
      <c r="W68" s="8" t="s">
        <v>64</v>
      </c>
      <c r="X68" t="s">
        <v>42</v>
      </c>
      <c r="Y68" s="8">
        <v>1</v>
      </c>
      <c r="Z68">
        <v>1</v>
      </c>
      <c r="AA68">
        <v>0</v>
      </c>
      <c r="AB68">
        <v>0</v>
      </c>
      <c r="AC68" s="5">
        <v>2011</v>
      </c>
      <c r="AD68" s="1">
        <v>2011</v>
      </c>
      <c r="AE68" s="6" t="s">
        <v>72</v>
      </c>
      <c r="AF68">
        <v>1</v>
      </c>
      <c r="AG68" t="s">
        <v>64</v>
      </c>
      <c r="AH68" s="1" t="s">
        <v>64</v>
      </c>
    </row>
    <row r="69" spans="1:34" ht="14.5">
      <c r="A69" t="s">
        <v>182</v>
      </c>
      <c r="B69" t="s">
        <v>183</v>
      </c>
      <c r="C69" s="24">
        <v>9</v>
      </c>
      <c r="D69" t="s">
        <v>38</v>
      </c>
      <c r="E69" t="s">
        <v>38</v>
      </c>
      <c r="F69" t="s">
        <v>39</v>
      </c>
      <c r="G69" t="s">
        <v>40</v>
      </c>
      <c r="H69" t="s">
        <v>41</v>
      </c>
      <c r="I69" t="s">
        <v>42</v>
      </c>
      <c r="J69" t="s">
        <v>42</v>
      </c>
      <c r="K69" t="s">
        <v>42</v>
      </c>
      <c r="L69" t="s">
        <v>42</v>
      </c>
      <c r="M69" s="1" t="s">
        <v>42</v>
      </c>
      <c r="N69" s="39" t="s">
        <v>132</v>
      </c>
      <c r="O69" t="s">
        <v>86</v>
      </c>
      <c r="P69" s="39" t="s">
        <v>149</v>
      </c>
      <c r="Q69" t="s">
        <v>198</v>
      </c>
      <c r="R69" t="s">
        <v>199</v>
      </c>
      <c r="S69" t="s">
        <v>88</v>
      </c>
      <c r="T69" t="s">
        <v>42</v>
      </c>
      <c r="U69" t="s">
        <v>42</v>
      </c>
      <c r="V69" t="s">
        <v>42</v>
      </c>
      <c r="W69" s="8" t="s">
        <v>64</v>
      </c>
      <c r="X69" t="s">
        <v>42</v>
      </c>
      <c r="Y69" s="8">
        <v>1</v>
      </c>
      <c r="Z69">
        <v>1</v>
      </c>
      <c r="AA69">
        <v>0</v>
      </c>
      <c r="AB69">
        <v>0</v>
      </c>
      <c r="AC69" s="5">
        <v>2011</v>
      </c>
      <c r="AD69" s="1">
        <v>2011</v>
      </c>
      <c r="AE69" s="6" t="s">
        <v>72</v>
      </c>
      <c r="AF69">
        <v>1</v>
      </c>
      <c r="AG69" t="s">
        <v>64</v>
      </c>
      <c r="AH69" s="1" t="s">
        <v>64</v>
      </c>
    </row>
    <row r="70" spans="1:34" ht="14.5">
      <c r="A70" t="s">
        <v>182</v>
      </c>
      <c r="B70" t="s">
        <v>183</v>
      </c>
      <c r="C70" s="24">
        <v>10</v>
      </c>
      <c r="D70" t="s">
        <v>38</v>
      </c>
      <c r="E70" t="s">
        <v>38</v>
      </c>
      <c r="F70" t="s">
        <v>39</v>
      </c>
      <c r="G70" t="s">
        <v>40</v>
      </c>
      <c r="H70" t="s">
        <v>41</v>
      </c>
      <c r="I70" t="s">
        <v>42</v>
      </c>
      <c r="J70" t="s">
        <v>42</v>
      </c>
      <c r="K70" t="s">
        <v>42</v>
      </c>
      <c r="L70" t="s">
        <v>42</v>
      </c>
      <c r="M70" s="1" t="s">
        <v>42</v>
      </c>
      <c r="N70" s="39" t="s">
        <v>52</v>
      </c>
      <c r="O70" t="s">
        <v>44</v>
      </c>
      <c r="P70" s="39" t="s">
        <v>52</v>
      </c>
      <c r="Q70" t="s">
        <v>200</v>
      </c>
      <c r="R70" t="s">
        <v>42</v>
      </c>
      <c r="S70" t="s">
        <v>69</v>
      </c>
      <c r="T70" t="s">
        <v>42</v>
      </c>
      <c r="U70" t="s">
        <v>42</v>
      </c>
      <c r="V70" t="s">
        <v>42</v>
      </c>
      <c r="W70" s="8" t="s">
        <v>50</v>
      </c>
      <c r="X70" t="s">
        <v>85</v>
      </c>
      <c r="Y70" s="8">
        <v>1</v>
      </c>
      <c r="Z70">
        <v>1</v>
      </c>
      <c r="AA70">
        <v>0</v>
      </c>
      <c r="AB70">
        <v>0</v>
      </c>
      <c r="AC70" s="5">
        <v>2011</v>
      </c>
      <c r="AD70" s="1">
        <v>2011</v>
      </c>
      <c r="AE70" s="6" t="s">
        <v>72</v>
      </c>
      <c r="AF70">
        <v>1</v>
      </c>
      <c r="AG70" t="s">
        <v>64</v>
      </c>
      <c r="AH70" s="1" t="s">
        <v>64</v>
      </c>
    </row>
    <row r="71" spans="1:34" ht="14.5">
      <c r="A71" t="s">
        <v>182</v>
      </c>
      <c r="B71" t="s">
        <v>183</v>
      </c>
      <c r="C71" s="24">
        <v>11</v>
      </c>
      <c r="D71" t="s">
        <v>38</v>
      </c>
      <c r="E71" t="s">
        <v>38</v>
      </c>
      <c r="F71" t="s">
        <v>39</v>
      </c>
      <c r="G71" t="s">
        <v>40</v>
      </c>
      <c r="H71" t="s">
        <v>41</v>
      </c>
      <c r="I71" t="s">
        <v>42</v>
      </c>
      <c r="J71" t="s">
        <v>42</v>
      </c>
      <c r="K71" t="s">
        <v>42</v>
      </c>
      <c r="L71" t="s">
        <v>42</v>
      </c>
      <c r="M71" s="1" t="s">
        <v>42</v>
      </c>
      <c r="N71" s="39" t="s">
        <v>79</v>
      </c>
      <c r="O71" t="s">
        <v>86</v>
      </c>
      <c r="P71" s="39" t="s">
        <v>201</v>
      </c>
      <c r="Q71" t="s">
        <v>200</v>
      </c>
      <c r="R71" t="s">
        <v>42</v>
      </c>
      <c r="S71" t="s">
        <v>202</v>
      </c>
      <c r="T71" t="s">
        <v>42</v>
      </c>
      <c r="U71" t="s">
        <v>42</v>
      </c>
      <c r="V71" t="s">
        <v>42</v>
      </c>
      <c r="W71" s="8" t="s">
        <v>64</v>
      </c>
      <c r="X71" t="s">
        <v>42</v>
      </c>
      <c r="Y71" s="8">
        <v>1</v>
      </c>
      <c r="Z71">
        <v>1</v>
      </c>
      <c r="AA71">
        <v>0</v>
      </c>
      <c r="AB71">
        <v>0</v>
      </c>
      <c r="AC71" s="5">
        <v>2011</v>
      </c>
      <c r="AD71" s="1">
        <v>2011</v>
      </c>
      <c r="AE71" s="6" t="s">
        <v>72</v>
      </c>
      <c r="AF71">
        <v>1</v>
      </c>
      <c r="AG71" t="s">
        <v>64</v>
      </c>
      <c r="AH71" s="1" t="s">
        <v>64</v>
      </c>
    </row>
    <row r="72" spans="1:34" ht="14.5">
      <c r="A72" t="s">
        <v>182</v>
      </c>
      <c r="B72" t="s">
        <v>183</v>
      </c>
      <c r="C72" s="24">
        <v>12</v>
      </c>
      <c r="D72" t="s">
        <v>38</v>
      </c>
      <c r="E72" t="s">
        <v>38</v>
      </c>
      <c r="F72" t="s">
        <v>39</v>
      </c>
      <c r="G72" t="s">
        <v>40</v>
      </c>
      <c r="H72" t="s">
        <v>41</v>
      </c>
      <c r="I72" t="s">
        <v>42</v>
      </c>
      <c r="J72" t="s">
        <v>42</v>
      </c>
      <c r="K72" t="s">
        <v>42</v>
      </c>
      <c r="L72" t="s">
        <v>42</v>
      </c>
      <c r="M72" s="1" t="s">
        <v>42</v>
      </c>
      <c r="N72" s="39" t="s">
        <v>57</v>
      </c>
      <c r="O72" t="s">
        <v>86</v>
      </c>
      <c r="P72" s="39" t="s">
        <v>57</v>
      </c>
      <c r="Q72" t="s">
        <v>200</v>
      </c>
      <c r="R72" t="s">
        <v>42</v>
      </c>
      <c r="S72" t="s">
        <v>203</v>
      </c>
      <c r="T72" t="s">
        <v>204</v>
      </c>
      <c r="U72" t="s">
        <v>42</v>
      </c>
      <c r="V72" t="s">
        <v>42</v>
      </c>
      <c r="W72" s="8" t="s">
        <v>64</v>
      </c>
      <c r="X72" t="s">
        <v>42</v>
      </c>
      <c r="Y72" s="8">
        <v>1</v>
      </c>
      <c r="Z72">
        <v>1</v>
      </c>
      <c r="AA72">
        <v>0</v>
      </c>
      <c r="AB72">
        <v>0</v>
      </c>
      <c r="AC72" s="5">
        <v>2011</v>
      </c>
      <c r="AD72" s="1">
        <v>2011</v>
      </c>
      <c r="AE72" s="6" t="s">
        <v>72</v>
      </c>
      <c r="AF72">
        <v>1</v>
      </c>
      <c r="AG72" t="s">
        <v>64</v>
      </c>
      <c r="AH72" s="1" t="s">
        <v>64</v>
      </c>
    </row>
    <row r="73" spans="1:34" s="9" customFormat="1" ht="14.5">
      <c r="A73" s="9" t="s">
        <v>182</v>
      </c>
      <c r="B73" s="9" t="s">
        <v>183</v>
      </c>
      <c r="C73" s="25">
        <v>13</v>
      </c>
      <c r="D73" s="9" t="s">
        <v>38</v>
      </c>
      <c r="E73" s="9" t="s">
        <v>38</v>
      </c>
      <c r="F73" s="9" t="s">
        <v>39</v>
      </c>
      <c r="G73" s="9" t="s">
        <v>40</v>
      </c>
      <c r="H73" s="9" t="s">
        <v>41</v>
      </c>
      <c r="I73" s="9" t="s">
        <v>42</v>
      </c>
      <c r="J73" s="9" t="s">
        <v>42</v>
      </c>
      <c r="K73" s="9" t="s">
        <v>42</v>
      </c>
      <c r="L73" s="9" t="s">
        <v>42</v>
      </c>
      <c r="M73" s="10" t="s">
        <v>42</v>
      </c>
      <c r="N73" s="40" t="s">
        <v>57</v>
      </c>
      <c r="O73" s="9" t="s">
        <v>86</v>
      </c>
      <c r="P73" s="40" t="s">
        <v>57</v>
      </c>
      <c r="Q73" s="9" t="s">
        <v>200</v>
      </c>
      <c r="R73" s="9" t="s">
        <v>42</v>
      </c>
      <c r="S73" s="9" t="s">
        <v>203</v>
      </c>
      <c r="T73" s="9" t="s">
        <v>204</v>
      </c>
      <c r="U73" s="9" t="s">
        <v>42</v>
      </c>
      <c r="V73" s="9" t="s">
        <v>42</v>
      </c>
      <c r="W73" s="11" t="s">
        <v>64</v>
      </c>
      <c r="X73" s="9" t="s">
        <v>42</v>
      </c>
      <c r="Y73" s="11">
        <v>1</v>
      </c>
      <c r="Z73" s="9">
        <v>1</v>
      </c>
      <c r="AA73" s="9">
        <v>0</v>
      </c>
      <c r="AB73" s="9">
        <v>0</v>
      </c>
      <c r="AC73" s="12">
        <v>2011</v>
      </c>
      <c r="AD73" s="10">
        <v>2011</v>
      </c>
      <c r="AE73" s="13" t="s">
        <v>72</v>
      </c>
      <c r="AF73" s="9">
        <v>1</v>
      </c>
      <c r="AG73" s="9" t="s">
        <v>64</v>
      </c>
      <c r="AH73" s="10" t="s">
        <v>64</v>
      </c>
    </row>
    <row r="74" spans="1:34" ht="14.5">
      <c r="A74" t="s">
        <v>205</v>
      </c>
      <c r="B74" t="s">
        <v>206</v>
      </c>
      <c r="C74" s="24">
        <v>1</v>
      </c>
      <c r="D74" t="s">
        <v>38</v>
      </c>
      <c r="E74" t="s">
        <v>38</v>
      </c>
      <c r="F74" t="s">
        <v>39</v>
      </c>
      <c r="G74" t="s">
        <v>40</v>
      </c>
      <c r="H74" t="s">
        <v>91</v>
      </c>
      <c r="I74" t="s">
        <v>92</v>
      </c>
      <c r="J74" t="s">
        <v>42</v>
      </c>
      <c r="K74" t="s">
        <v>42</v>
      </c>
      <c r="L74" t="s">
        <v>42</v>
      </c>
      <c r="M74" s="1" t="s">
        <v>42</v>
      </c>
      <c r="N74" s="39" t="s">
        <v>168</v>
      </c>
      <c r="O74" t="s">
        <v>44</v>
      </c>
      <c r="P74" s="39" t="s">
        <v>169</v>
      </c>
      <c r="Q74" t="s">
        <v>207</v>
      </c>
      <c r="R74" t="s">
        <v>208</v>
      </c>
      <c r="S74" t="s">
        <v>209</v>
      </c>
      <c r="T74" t="s">
        <v>42</v>
      </c>
      <c r="U74" t="s">
        <v>42</v>
      </c>
      <c r="V74" t="s">
        <v>42</v>
      </c>
      <c r="W74" s="8" t="s">
        <v>50</v>
      </c>
      <c r="X74" t="s">
        <v>210</v>
      </c>
      <c r="Y74" s="8">
        <v>1</v>
      </c>
      <c r="Z74">
        <v>3</v>
      </c>
      <c r="AA74">
        <v>0</v>
      </c>
      <c r="AB74">
        <v>2</v>
      </c>
      <c r="AC74" s="5">
        <v>2008</v>
      </c>
      <c r="AD74" s="1">
        <v>2008</v>
      </c>
      <c r="AE74" s="6" t="s">
        <v>72</v>
      </c>
      <c r="AF74">
        <v>1</v>
      </c>
      <c r="AG74" t="s">
        <v>64</v>
      </c>
      <c r="AH74" s="1" t="s">
        <v>64</v>
      </c>
    </row>
    <row r="75" spans="1:34" ht="14.5">
      <c r="A75" t="s">
        <v>205</v>
      </c>
      <c r="B75" t="s">
        <v>206</v>
      </c>
      <c r="C75" s="24">
        <v>2</v>
      </c>
      <c r="D75" t="s">
        <v>38</v>
      </c>
      <c r="E75" t="s">
        <v>38</v>
      </c>
      <c r="F75" t="s">
        <v>39</v>
      </c>
      <c r="G75" t="s">
        <v>40</v>
      </c>
      <c r="H75" t="s">
        <v>91</v>
      </c>
      <c r="I75" t="s">
        <v>92</v>
      </c>
      <c r="J75" t="s">
        <v>42</v>
      </c>
      <c r="K75" t="s">
        <v>42</v>
      </c>
      <c r="L75" t="s">
        <v>42</v>
      </c>
      <c r="M75" s="1" t="s">
        <v>42</v>
      </c>
      <c r="N75" s="39" t="s">
        <v>168</v>
      </c>
      <c r="O75" t="s">
        <v>44</v>
      </c>
      <c r="P75" s="39" t="s">
        <v>169</v>
      </c>
      <c r="Q75" t="s">
        <v>211</v>
      </c>
      <c r="R75" t="s">
        <v>212</v>
      </c>
      <c r="S75" t="s">
        <v>209</v>
      </c>
      <c r="T75" t="s">
        <v>42</v>
      </c>
      <c r="U75" t="s">
        <v>42</v>
      </c>
      <c r="V75" t="s">
        <v>42</v>
      </c>
      <c r="W75" s="8" t="s">
        <v>50</v>
      </c>
      <c r="X75" t="s">
        <v>210</v>
      </c>
      <c r="Y75" s="8">
        <v>1</v>
      </c>
      <c r="Z75">
        <v>3</v>
      </c>
      <c r="AA75">
        <v>0</v>
      </c>
      <c r="AB75">
        <v>2</v>
      </c>
      <c r="AC75" s="5">
        <v>2008</v>
      </c>
      <c r="AD75" s="1">
        <v>2008</v>
      </c>
      <c r="AE75" s="6" t="s">
        <v>72</v>
      </c>
      <c r="AF75">
        <v>1</v>
      </c>
      <c r="AG75" t="s">
        <v>64</v>
      </c>
      <c r="AH75" s="1" t="s">
        <v>64</v>
      </c>
    </row>
    <row r="76" spans="1:34" ht="14.5">
      <c r="A76" t="s">
        <v>205</v>
      </c>
      <c r="B76" t="s">
        <v>206</v>
      </c>
      <c r="C76" s="24">
        <v>3</v>
      </c>
      <c r="D76" t="s">
        <v>38</v>
      </c>
      <c r="E76" t="s">
        <v>38</v>
      </c>
      <c r="F76" t="s">
        <v>39</v>
      </c>
      <c r="G76" t="s">
        <v>40</v>
      </c>
      <c r="H76" t="s">
        <v>91</v>
      </c>
      <c r="I76" t="s">
        <v>92</v>
      </c>
      <c r="J76" t="s">
        <v>42</v>
      </c>
      <c r="K76" t="s">
        <v>42</v>
      </c>
      <c r="L76" t="s">
        <v>42</v>
      </c>
      <c r="M76" s="1" t="s">
        <v>42</v>
      </c>
      <c r="N76" s="39" t="s">
        <v>168</v>
      </c>
      <c r="O76" t="s">
        <v>44</v>
      </c>
      <c r="P76" s="39" t="s">
        <v>169</v>
      </c>
      <c r="Q76" t="s">
        <v>213</v>
      </c>
      <c r="R76" t="s">
        <v>214</v>
      </c>
      <c r="S76" t="s">
        <v>209</v>
      </c>
      <c r="T76" t="s">
        <v>42</v>
      </c>
      <c r="U76" t="s">
        <v>42</v>
      </c>
      <c r="V76" t="s">
        <v>42</v>
      </c>
      <c r="W76" s="8" t="s">
        <v>50</v>
      </c>
      <c r="X76" t="s">
        <v>210</v>
      </c>
      <c r="Y76" s="8">
        <v>1</v>
      </c>
      <c r="Z76">
        <v>3</v>
      </c>
      <c r="AA76">
        <v>0</v>
      </c>
      <c r="AB76">
        <v>2</v>
      </c>
      <c r="AC76" s="5">
        <v>2008</v>
      </c>
      <c r="AD76" s="1">
        <v>2008</v>
      </c>
      <c r="AE76" s="6" t="s">
        <v>72</v>
      </c>
      <c r="AF76">
        <v>1</v>
      </c>
      <c r="AG76" t="s">
        <v>64</v>
      </c>
      <c r="AH76" s="1" t="s">
        <v>64</v>
      </c>
    </row>
    <row r="77" spans="1:34" ht="14.5">
      <c r="A77" t="s">
        <v>205</v>
      </c>
      <c r="B77" t="s">
        <v>206</v>
      </c>
      <c r="C77" s="24">
        <v>4</v>
      </c>
      <c r="D77" t="s">
        <v>38</v>
      </c>
      <c r="E77" t="s">
        <v>38</v>
      </c>
      <c r="F77" t="s">
        <v>39</v>
      </c>
      <c r="G77" t="s">
        <v>40</v>
      </c>
      <c r="H77" t="s">
        <v>91</v>
      </c>
      <c r="I77" t="s">
        <v>92</v>
      </c>
      <c r="J77" t="s">
        <v>42</v>
      </c>
      <c r="K77" t="s">
        <v>42</v>
      </c>
      <c r="L77" t="s">
        <v>42</v>
      </c>
      <c r="M77" s="1" t="s">
        <v>42</v>
      </c>
      <c r="N77" s="39" t="s">
        <v>168</v>
      </c>
      <c r="O77" t="s">
        <v>44</v>
      </c>
      <c r="P77" s="39" t="s">
        <v>169</v>
      </c>
      <c r="Q77" t="s">
        <v>211</v>
      </c>
      <c r="R77" t="s">
        <v>215</v>
      </c>
      <c r="S77" t="s">
        <v>209</v>
      </c>
      <c r="T77" t="s">
        <v>42</v>
      </c>
      <c r="U77" t="s">
        <v>42</v>
      </c>
      <c r="V77" t="s">
        <v>42</v>
      </c>
      <c r="W77" s="8" t="s">
        <v>50</v>
      </c>
      <c r="X77" t="s">
        <v>210</v>
      </c>
      <c r="Y77" s="8">
        <v>1</v>
      </c>
      <c r="Z77">
        <v>3</v>
      </c>
      <c r="AA77">
        <v>0</v>
      </c>
      <c r="AB77">
        <v>2</v>
      </c>
      <c r="AC77" s="5">
        <v>2008</v>
      </c>
      <c r="AD77" s="1">
        <v>2008</v>
      </c>
      <c r="AE77" s="6" t="s">
        <v>72</v>
      </c>
      <c r="AF77">
        <v>1</v>
      </c>
      <c r="AG77" t="s">
        <v>64</v>
      </c>
      <c r="AH77" s="1" t="s">
        <v>64</v>
      </c>
    </row>
    <row r="78" spans="1:34" ht="14.5">
      <c r="A78" t="s">
        <v>205</v>
      </c>
      <c r="B78" t="s">
        <v>206</v>
      </c>
      <c r="C78" s="24">
        <v>5</v>
      </c>
      <c r="D78" t="s">
        <v>38</v>
      </c>
      <c r="E78" t="s">
        <v>38</v>
      </c>
      <c r="F78" t="s">
        <v>39</v>
      </c>
      <c r="G78" t="s">
        <v>40</v>
      </c>
      <c r="H78" t="s">
        <v>91</v>
      </c>
      <c r="I78" t="s">
        <v>92</v>
      </c>
      <c r="J78" t="s">
        <v>42</v>
      </c>
      <c r="K78" t="s">
        <v>42</v>
      </c>
      <c r="L78" t="s">
        <v>42</v>
      </c>
      <c r="M78" s="1" t="s">
        <v>42</v>
      </c>
      <c r="N78" s="39" t="s">
        <v>168</v>
      </c>
      <c r="O78" t="s">
        <v>44</v>
      </c>
      <c r="P78" s="39" t="s">
        <v>169</v>
      </c>
      <c r="Q78" t="s">
        <v>211</v>
      </c>
      <c r="R78" t="s">
        <v>216</v>
      </c>
      <c r="S78" t="s">
        <v>209</v>
      </c>
      <c r="T78" t="s">
        <v>42</v>
      </c>
      <c r="U78" t="s">
        <v>42</v>
      </c>
      <c r="V78" t="s">
        <v>42</v>
      </c>
      <c r="W78" s="8" t="s">
        <v>50</v>
      </c>
      <c r="X78" t="s">
        <v>210</v>
      </c>
      <c r="Y78" s="8">
        <v>1</v>
      </c>
      <c r="Z78">
        <v>3</v>
      </c>
      <c r="AA78">
        <v>0</v>
      </c>
      <c r="AB78">
        <v>2</v>
      </c>
      <c r="AC78" s="5">
        <v>2008</v>
      </c>
      <c r="AD78" s="1">
        <v>2008</v>
      </c>
      <c r="AE78" s="6" t="s">
        <v>72</v>
      </c>
      <c r="AF78">
        <v>1</v>
      </c>
      <c r="AG78" t="s">
        <v>64</v>
      </c>
      <c r="AH78" s="1" t="s">
        <v>64</v>
      </c>
    </row>
    <row r="79" spans="1:34" ht="14.5">
      <c r="A79" t="s">
        <v>205</v>
      </c>
      <c r="B79" t="s">
        <v>206</v>
      </c>
      <c r="C79" s="24">
        <v>6</v>
      </c>
      <c r="D79" t="s">
        <v>38</v>
      </c>
      <c r="E79" t="s">
        <v>38</v>
      </c>
      <c r="F79" t="s">
        <v>39</v>
      </c>
      <c r="G79" t="s">
        <v>40</v>
      </c>
      <c r="H79" t="s">
        <v>91</v>
      </c>
      <c r="I79" t="s">
        <v>92</v>
      </c>
      <c r="J79" t="s">
        <v>42</v>
      </c>
      <c r="K79" t="s">
        <v>42</v>
      </c>
      <c r="L79" t="s">
        <v>42</v>
      </c>
      <c r="M79" s="1" t="s">
        <v>42</v>
      </c>
      <c r="N79" s="39" t="s">
        <v>168</v>
      </c>
      <c r="O79" t="s">
        <v>44</v>
      </c>
      <c r="P79" s="39" t="s">
        <v>169</v>
      </c>
      <c r="Q79" t="s">
        <v>211</v>
      </c>
      <c r="R79" t="s">
        <v>217</v>
      </c>
      <c r="S79" t="s">
        <v>209</v>
      </c>
      <c r="T79" t="s">
        <v>42</v>
      </c>
      <c r="U79" t="s">
        <v>42</v>
      </c>
      <c r="V79" t="s">
        <v>42</v>
      </c>
      <c r="W79" s="8" t="s">
        <v>50</v>
      </c>
      <c r="X79" t="s">
        <v>210</v>
      </c>
      <c r="Y79" s="8">
        <v>1</v>
      </c>
      <c r="Z79">
        <v>3</v>
      </c>
      <c r="AA79">
        <v>0</v>
      </c>
      <c r="AB79">
        <v>2</v>
      </c>
      <c r="AC79" s="5">
        <v>2008</v>
      </c>
      <c r="AD79" s="1">
        <v>2008</v>
      </c>
      <c r="AE79" s="6" t="s">
        <v>72</v>
      </c>
      <c r="AF79">
        <v>1</v>
      </c>
      <c r="AG79" t="s">
        <v>64</v>
      </c>
      <c r="AH79" s="1" t="s">
        <v>64</v>
      </c>
    </row>
    <row r="80" spans="1:34" ht="14.5">
      <c r="A80" t="s">
        <v>205</v>
      </c>
      <c r="B80" t="s">
        <v>206</v>
      </c>
      <c r="C80" s="24">
        <v>7</v>
      </c>
      <c r="D80" t="s">
        <v>38</v>
      </c>
      <c r="E80" t="s">
        <v>38</v>
      </c>
      <c r="F80" t="s">
        <v>39</v>
      </c>
      <c r="G80" t="s">
        <v>40</v>
      </c>
      <c r="H80" t="s">
        <v>91</v>
      </c>
      <c r="I80" t="s">
        <v>92</v>
      </c>
      <c r="J80" t="s">
        <v>42</v>
      </c>
      <c r="K80" t="s">
        <v>42</v>
      </c>
      <c r="L80" t="s">
        <v>42</v>
      </c>
      <c r="M80" s="1" t="s">
        <v>42</v>
      </c>
      <c r="N80" s="39" t="s">
        <v>168</v>
      </c>
      <c r="O80" t="s">
        <v>44</v>
      </c>
      <c r="P80" s="39" t="s">
        <v>169</v>
      </c>
      <c r="Q80" t="s">
        <v>211</v>
      </c>
      <c r="R80" t="s">
        <v>218</v>
      </c>
      <c r="S80" t="s">
        <v>209</v>
      </c>
      <c r="T80" t="s">
        <v>42</v>
      </c>
      <c r="U80" t="s">
        <v>42</v>
      </c>
      <c r="V80" t="s">
        <v>42</v>
      </c>
      <c r="W80" s="8" t="s">
        <v>50</v>
      </c>
      <c r="X80" t="s">
        <v>210</v>
      </c>
      <c r="Y80" s="8">
        <v>1</v>
      </c>
      <c r="Z80">
        <v>3</v>
      </c>
      <c r="AA80">
        <v>0</v>
      </c>
      <c r="AB80">
        <v>2</v>
      </c>
      <c r="AC80" s="5">
        <v>2008</v>
      </c>
      <c r="AD80" s="1">
        <v>2008</v>
      </c>
      <c r="AE80" s="6" t="s">
        <v>72</v>
      </c>
      <c r="AF80">
        <v>1</v>
      </c>
      <c r="AG80" t="s">
        <v>64</v>
      </c>
      <c r="AH80" s="1" t="s">
        <v>64</v>
      </c>
    </row>
    <row r="81" spans="1:34" ht="14.5">
      <c r="A81" t="s">
        <v>205</v>
      </c>
      <c r="B81" t="s">
        <v>206</v>
      </c>
      <c r="C81" s="24">
        <v>8</v>
      </c>
      <c r="D81" t="s">
        <v>38</v>
      </c>
      <c r="E81" t="s">
        <v>38</v>
      </c>
      <c r="F81" t="s">
        <v>39</v>
      </c>
      <c r="G81" t="s">
        <v>40</v>
      </c>
      <c r="H81" t="s">
        <v>91</v>
      </c>
      <c r="I81" t="s">
        <v>92</v>
      </c>
      <c r="J81" t="s">
        <v>42</v>
      </c>
      <c r="K81" t="s">
        <v>42</v>
      </c>
      <c r="L81" t="s">
        <v>42</v>
      </c>
      <c r="M81" s="1" t="s">
        <v>42</v>
      </c>
      <c r="N81" s="39" t="s">
        <v>168</v>
      </c>
      <c r="O81" t="s">
        <v>44</v>
      </c>
      <c r="P81" s="39" t="s">
        <v>169</v>
      </c>
      <c r="Q81" t="s">
        <v>219</v>
      </c>
      <c r="R81" t="s">
        <v>220</v>
      </c>
      <c r="S81" t="s">
        <v>209</v>
      </c>
      <c r="T81" t="s">
        <v>42</v>
      </c>
      <c r="U81" t="s">
        <v>42</v>
      </c>
      <c r="V81" t="s">
        <v>42</v>
      </c>
      <c r="W81" s="8" t="s">
        <v>50</v>
      </c>
      <c r="X81" t="s">
        <v>210</v>
      </c>
      <c r="Y81" s="8">
        <v>1</v>
      </c>
      <c r="Z81">
        <v>3</v>
      </c>
      <c r="AA81">
        <v>0</v>
      </c>
      <c r="AB81">
        <v>2</v>
      </c>
      <c r="AC81" s="5">
        <v>2008</v>
      </c>
      <c r="AD81" s="1">
        <v>2008</v>
      </c>
      <c r="AE81" s="6" t="s">
        <v>72</v>
      </c>
      <c r="AF81">
        <v>1</v>
      </c>
      <c r="AG81" t="s">
        <v>64</v>
      </c>
      <c r="AH81" s="1" t="s">
        <v>64</v>
      </c>
    </row>
    <row r="82" spans="1:34" ht="14.5">
      <c r="A82" t="s">
        <v>205</v>
      </c>
      <c r="B82" t="s">
        <v>206</v>
      </c>
      <c r="C82" s="24">
        <v>9</v>
      </c>
      <c r="D82" t="s">
        <v>38</v>
      </c>
      <c r="E82" t="s">
        <v>38</v>
      </c>
      <c r="F82" t="s">
        <v>39</v>
      </c>
      <c r="G82" t="s">
        <v>40</v>
      </c>
      <c r="H82" t="s">
        <v>91</v>
      </c>
      <c r="I82" t="s">
        <v>92</v>
      </c>
      <c r="J82" t="s">
        <v>42</v>
      </c>
      <c r="K82" t="s">
        <v>42</v>
      </c>
      <c r="L82" t="s">
        <v>42</v>
      </c>
      <c r="M82" s="1" t="s">
        <v>42</v>
      </c>
      <c r="N82" s="39" t="s">
        <v>168</v>
      </c>
      <c r="O82" t="s">
        <v>44</v>
      </c>
      <c r="P82" s="39" t="s">
        <v>169</v>
      </c>
      <c r="Q82" t="s">
        <v>211</v>
      </c>
      <c r="R82" t="s">
        <v>221</v>
      </c>
      <c r="S82" t="s">
        <v>209</v>
      </c>
      <c r="T82" t="s">
        <v>42</v>
      </c>
      <c r="U82" t="s">
        <v>42</v>
      </c>
      <c r="V82" t="s">
        <v>42</v>
      </c>
      <c r="W82" s="8" t="s">
        <v>50</v>
      </c>
      <c r="X82" t="s">
        <v>210</v>
      </c>
      <c r="Y82" s="8">
        <v>1</v>
      </c>
      <c r="Z82">
        <v>3</v>
      </c>
      <c r="AA82">
        <v>0</v>
      </c>
      <c r="AB82">
        <v>2</v>
      </c>
      <c r="AC82" s="5">
        <v>2008</v>
      </c>
      <c r="AD82" s="1">
        <v>2008</v>
      </c>
      <c r="AE82" s="6" t="s">
        <v>72</v>
      </c>
      <c r="AF82">
        <v>1</v>
      </c>
      <c r="AG82" t="s">
        <v>64</v>
      </c>
      <c r="AH82" s="1" t="s">
        <v>64</v>
      </c>
    </row>
    <row r="83" spans="1:34" ht="14.5">
      <c r="A83" t="s">
        <v>205</v>
      </c>
      <c r="B83" t="s">
        <v>206</v>
      </c>
      <c r="C83" s="24">
        <v>10</v>
      </c>
      <c r="D83" t="s">
        <v>38</v>
      </c>
      <c r="E83" t="s">
        <v>38</v>
      </c>
      <c r="F83" t="s">
        <v>39</v>
      </c>
      <c r="G83" t="s">
        <v>40</v>
      </c>
      <c r="H83" t="s">
        <v>91</v>
      </c>
      <c r="I83" t="s">
        <v>92</v>
      </c>
      <c r="J83" t="s">
        <v>42</v>
      </c>
      <c r="K83" t="s">
        <v>42</v>
      </c>
      <c r="L83" t="s">
        <v>42</v>
      </c>
      <c r="M83" s="1" t="s">
        <v>42</v>
      </c>
      <c r="N83" s="39" t="s">
        <v>43</v>
      </c>
      <c r="O83" t="s">
        <v>44</v>
      </c>
      <c r="P83" s="39" t="s">
        <v>127</v>
      </c>
      <c r="Q83" t="s">
        <v>200</v>
      </c>
      <c r="R83" t="s">
        <v>141</v>
      </c>
      <c r="S83" t="s">
        <v>42</v>
      </c>
      <c r="T83" t="s">
        <v>42</v>
      </c>
      <c r="U83" t="s">
        <v>42</v>
      </c>
      <c r="V83" t="s">
        <v>42</v>
      </c>
      <c r="W83" s="8" t="s">
        <v>50</v>
      </c>
      <c r="X83" t="s">
        <v>85</v>
      </c>
      <c r="Y83" s="8">
        <v>1</v>
      </c>
      <c r="Z83">
        <v>3</v>
      </c>
      <c r="AA83">
        <v>0</v>
      </c>
      <c r="AB83">
        <v>2</v>
      </c>
      <c r="AC83" s="5">
        <v>2008</v>
      </c>
      <c r="AD83" s="1">
        <v>2008</v>
      </c>
      <c r="AE83" s="6" t="s">
        <v>72</v>
      </c>
      <c r="AF83">
        <v>1</v>
      </c>
      <c r="AG83" t="s">
        <v>64</v>
      </c>
      <c r="AH83" s="1" t="s">
        <v>64</v>
      </c>
    </row>
    <row r="84" spans="1:34" ht="14.5">
      <c r="A84" t="s">
        <v>205</v>
      </c>
      <c r="B84" t="s">
        <v>206</v>
      </c>
      <c r="C84" s="24">
        <v>11</v>
      </c>
      <c r="D84" t="s">
        <v>38</v>
      </c>
      <c r="E84" t="s">
        <v>38</v>
      </c>
      <c r="F84" t="s">
        <v>39</v>
      </c>
      <c r="G84" t="s">
        <v>40</v>
      </c>
      <c r="H84" t="s">
        <v>91</v>
      </c>
      <c r="I84" t="s">
        <v>92</v>
      </c>
      <c r="J84" t="s">
        <v>42</v>
      </c>
      <c r="K84" t="s">
        <v>42</v>
      </c>
      <c r="L84" t="s">
        <v>42</v>
      </c>
      <c r="M84" t="s">
        <v>42</v>
      </c>
      <c r="N84" s="39" t="s">
        <v>43</v>
      </c>
      <c r="O84" t="s">
        <v>44</v>
      </c>
      <c r="P84" s="39" t="s">
        <v>127</v>
      </c>
      <c r="Q84" t="s">
        <v>200</v>
      </c>
      <c r="R84" t="s">
        <v>222</v>
      </c>
      <c r="S84" t="s">
        <v>42</v>
      </c>
      <c r="T84" t="s">
        <v>42</v>
      </c>
      <c r="U84" t="s">
        <v>42</v>
      </c>
      <c r="V84" t="s">
        <v>42</v>
      </c>
      <c r="W84" t="s">
        <v>50</v>
      </c>
      <c r="X84" t="s">
        <v>85</v>
      </c>
      <c r="Y84" s="8">
        <v>1</v>
      </c>
      <c r="Z84">
        <v>3</v>
      </c>
      <c r="AA84">
        <v>0</v>
      </c>
      <c r="AB84">
        <v>2</v>
      </c>
      <c r="AC84">
        <v>2008</v>
      </c>
      <c r="AD84">
        <v>2008</v>
      </c>
      <c r="AE84" s="14" t="s">
        <v>72</v>
      </c>
      <c r="AF84">
        <v>1</v>
      </c>
      <c r="AG84" t="s">
        <v>64</v>
      </c>
      <c r="AH84" t="s">
        <v>64</v>
      </c>
    </row>
    <row r="85" spans="1:34" ht="14.5">
      <c r="A85" t="s">
        <v>205</v>
      </c>
      <c r="B85" t="s">
        <v>206</v>
      </c>
      <c r="C85" s="24">
        <v>12</v>
      </c>
      <c r="D85" t="s">
        <v>38</v>
      </c>
      <c r="E85" t="s">
        <v>38</v>
      </c>
      <c r="F85" t="s">
        <v>39</v>
      </c>
      <c r="G85" t="s">
        <v>40</v>
      </c>
      <c r="H85" t="s">
        <v>91</v>
      </c>
      <c r="I85" t="s">
        <v>92</v>
      </c>
      <c r="J85" t="s">
        <v>42</v>
      </c>
      <c r="K85" t="s">
        <v>42</v>
      </c>
      <c r="L85" t="s">
        <v>42</v>
      </c>
      <c r="M85" t="s">
        <v>42</v>
      </c>
      <c r="N85" s="39" t="s">
        <v>168</v>
      </c>
      <c r="O85" t="s">
        <v>44</v>
      </c>
      <c r="P85" s="39" t="s">
        <v>169</v>
      </c>
      <c r="Q85" t="s">
        <v>207</v>
      </c>
      <c r="R85" t="s">
        <v>208</v>
      </c>
      <c r="S85" t="s">
        <v>69</v>
      </c>
      <c r="T85" t="s">
        <v>42</v>
      </c>
      <c r="U85" t="s">
        <v>42</v>
      </c>
      <c r="V85" t="s">
        <v>42</v>
      </c>
      <c r="W85" s="8" t="s">
        <v>50</v>
      </c>
      <c r="X85" t="s">
        <v>210</v>
      </c>
      <c r="Y85" s="8">
        <v>1</v>
      </c>
      <c r="Z85">
        <v>3</v>
      </c>
      <c r="AA85">
        <v>0</v>
      </c>
      <c r="AB85">
        <v>2</v>
      </c>
      <c r="AC85" s="5">
        <v>2008</v>
      </c>
      <c r="AD85" s="1">
        <v>2008</v>
      </c>
      <c r="AE85" s="6" t="s">
        <v>72</v>
      </c>
      <c r="AF85">
        <v>1</v>
      </c>
      <c r="AG85" t="s">
        <v>64</v>
      </c>
      <c r="AH85" s="1" t="s">
        <v>64</v>
      </c>
    </row>
    <row r="86" spans="1:34" ht="14.5">
      <c r="A86" t="s">
        <v>205</v>
      </c>
      <c r="B86" t="s">
        <v>206</v>
      </c>
      <c r="C86" s="24">
        <v>13</v>
      </c>
      <c r="D86" t="s">
        <v>38</v>
      </c>
      <c r="E86" t="s">
        <v>38</v>
      </c>
      <c r="F86" t="s">
        <v>39</v>
      </c>
      <c r="G86" t="s">
        <v>40</v>
      </c>
      <c r="H86" t="s">
        <v>91</v>
      </c>
      <c r="I86" t="s">
        <v>92</v>
      </c>
      <c r="J86" t="s">
        <v>42</v>
      </c>
      <c r="K86" t="s">
        <v>42</v>
      </c>
      <c r="L86" t="s">
        <v>42</v>
      </c>
      <c r="M86" t="s">
        <v>42</v>
      </c>
      <c r="N86" s="39" t="s">
        <v>168</v>
      </c>
      <c r="O86" t="s">
        <v>44</v>
      </c>
      <c r="P86" s="39" t="s">
        <v>169</v>
      </c>
      <c r="Q86" t="s">
        <v>211</v>
      </c>
      <c r="R86" t="s">
        <v>212</v>
      </c>
      <c r="S86" t="s">
        <v>69</v>
      </c>
      <c r="T86" t="s">
        <v>42</v>
      </c>
      <c r="U86" t="s">
        <v>42</v>
      </c>
      <c r="V86" t="s">
        <v>42</v>
      </c>
      <c r="W86" s="8" t="s">
        <v>50</v>
      </c>
      <c r="X86" t="s">
        <v>210</v>
      </c>
      <c r="Y86" s="8">
        <v>1</v>
      </c>
      <c r="Z86">
        <v>3</v>
      </c>
      <c r="AA86">
        <v>0</v>
      </c>
      <c r="AB86">
        <v>2</v>
      </c>
      <c r="AC86">
        <v>2008</v>
      </c>
      <c r="AD86">
        <v>2008</v>
      </c>
      <c r="AE86" s="14" t="s">
        <v>72</v>
      </c>
      <c r="AF86">
        <v>1</v>
      </c>
      <c r="AG86" t="s">
        <v>64</v>
      </c>
      <c r="AH86" t="s">
        <v>64</v>
      </c>
    </row>
    <row r="87" spans="1:34" ht="14.5">
      <c r="A87" t="s">
        <v>205</v>
      </c>
      <c r="B87" t="s">
        <v>206</v>
      </c>
      <c r="C87" s="24">
        <v>14</v>
      </c>
      <c r="D87" t="s">
        <v>38</v>
      </c>
      <c r="E87" t="s">
        <v>38</v>
      </c>
      <c r="F87" t="s">
        <v>39</v>
      </c>
      <c r="G87" t="s">
        <v>40</v>
      </c>
      <c r="H87" t="s">
        <v>91</v>
      </c>
      <c r="I87" t="s">
        <v>92</v>
      </c>
      <c r="J87" t="s">
        <v>42</v>
      </c>
      <c r="K87" t="s">
        <v>42</v>
      </c>
      <c r="L87" t="s">
        <v>42</v>
      </c>
      <c r="M87" t="s">
        <v>42</v>
      </c>
      <c r="N87" s="39" t="s">
        <v>168</v>
      </c>
      <c r="O87" t="s">
        <v>44</v>
      </c>
      <c r="P87" s="39" t="s">
        <v>169</v>
      </c>
      <c r="Q87" t="s">
        <v>219</v>
      </c>
      <c r="R87" t="s">
        <v>214</v>
      </c>
      <c r="S87" t="s">
        <v>69</v>
      </c>
      <c r="T87" t="s">
        <v>42</v>
      </c>
      <c r="U87" t="s">
        <v>42</v>
      </c>
      <c r="V87" t="s">
        <v>42</v>
      </c>
      <c r="W87" s="8" t="s">
        <v>50</v>
      </c>
      <c r="X87" t="s">
        <v>210</v>
      </c>
      <c r="Y87" s="8">
        <v>1</v>
      </c>
      <c r="Z87">
        <v>3</v>
      </c>
      <c r="AA87">
        <v>0</v>
      </c>
      <c r="AB87">
        <v>2</v>
      </c>
      <c r="AC87" s="5">
        <v>2008</v>
      </c>
      <c r="AD87" s="1">
        <v>2008</v>
      </c>
      <c r="AE87" s="6" t="s">
        <v>72</v>
      </c>
      <c r="AF87">
        <v>1</v>
      </c>
      <c r="AG87" t="s">
        <v>64</v>
      </c>
      <c r="AH87" s="1" t="s">
        <v>64</v>
      </c>
    </row>
    <row r="88" spans="1:34" ht="14.5">
      <c r="A88" t="s">
        <v>205</v>
      </c>
      <c r="B88" t="s">
        <v>206</v>
      </c>
      <c r="C88" s="24">
        <v>15</v>
      </c>
      <c r="D88" t="s">
        <v>38</v>
      </c>
      <c r="E88" t="s">
        <v>38</v>
      </c>
      <c r="F88" t="s">
        <v>39</v>
      </c>
      <c r="G88" t="s">
        <v>40</v>
      </c>
      <c r="H88" t="s">
        <v>91</v>
      </c>
      <c r="I88" t="s">
        <v>92</v>
      </c>
      <c r="J88" t="s">
        <v>42</v>
      </c>
      <c r="K88" t="s">
        <v>42</v>
      </c>
      <c r="L88" t="s">
        <v>42</v>
      </c>
      <c r="M88" t="s">
        <v>42</v>
      </c>
      <c r="N88" s="39" t="s">
        <v>168</v>
      </c>
      <c r="O88" t="s">
        <v>44</v>
      </c>
      <c r="P88" s="39" t="s">
        <v>169</v>
      </c>
      <c r="Q88" t="s">
        <v>211</v>
      </c>
      <c r="R88" t="s">
        <v>218</v>
      </c>
      <c r="S88" t="s">
        <v>69</v>
      </c>
      <c r="T88" t="s">
        <v>42</v>
      </c>
      <c r="U88" t="s">
        <v>42</v>
      </c>
      <c r="V88" t="s">
        <v>42</v>
      </c>
      <c r="W88" s="8" t="s">
        <v>50</v>
      </c>
      <c r="X88" t="s">
        <v>210</v>
      </c>
      <c r="Y88" s="8">
        <v>1</v>
      </c>
      <c r="Z88">
        <v>3</v>
      </c>
      <c r="AA88">
        <v>0</v>
      </c>
      <c r="AB88">
        <v>2</v>
      </c>
      <c r="AC88">
        <v>2008</v>
      </c>
      <c r="AD88">
        <v>2008</v>
      </c>
      <c r="AE88" s="14" t="s">
        <v>72</v>
      </c>
      <c r="AF88">
        <v>1</v>
      </c>
      <c r="AG88" t="s">
        <v>64</v>
      </c>
      <c r="AH88" t="s">
        <v>64</v>
      </c>
    </row>
    <row r="89" spans="1:34" ht="14.5">
      <c r="A89" t="s">
        <v>205</v>
      </c>
      <c r="B89" t="s">
        <v>206</v>
      </c>
      <c r="C89" s="24">
        <v>16</v>
      </c>
      <c r="D89" t="s">
        <v>38</v>
      </c>
      <c r="E89" t="s">
        <v>38</v>
      </c>
      <c r="F89" t="s">
        <v>39</v>
      </c>
      <c r="G89" t="s">
        <v>40</v>
      </c>
      <c r="H89" t="s">
        <v>91</v>
      </c>
      <c r="I89" t="s">
        <v>92</v>
      </c>
      <c r="J89" t="s">
        <v>42</v>
      </c>
      <c r="K89" t="s">
        <v>42</v>
      </c>
      <c r="L89" t="s">
        <v>42</v>
      </c>
      <c r="M89" t="s">
        <v>42</v>
      </c>
      <c r="N89" s="39" t="s">
        <v>168</v>
      </c>
      <c r="O89" t="s">
        <v>44</v>
      </c>
      <c r="P89" s="39" t="s">
        <v>169</v>
      </c>
      <c r="Q89" t="s">
        <v>219</v>
      </c>
      <c r="R89" t="s">
        <v>220</v>
      </c>
      <c r="S89" t="s">
        <v>69</v>
      </c>
      <c r="T89" t="s">
        <v>42</v>
      </c>
      <c r="U89" t="s">
        <v>42</v>
      </c>
      <c r="V89" t="s">
        <v>42</v>
      </c>
      <c r="W89" s="8" t="s">
        <v>50</v>
      </c>
      <c r="X89" t="s">
        <v>210</v>
      </c>
      <c r="Y89" s="8">
        <v>1</v>
      </c>
      <c r="Z89">
        <v>3</v>
      </c>
      <c r="AA89">
        <v>0</v>
      </c>
      <c r="AB89">
        <v>2</v>
      </c>
      <c r="AC89" s="5">
        <v>2008</v>
      </c>
      <c r="AD89" s="1">
        <v>2008</v>
      </c>
      <c r="AE89" s="6" t="s">
        <v>72</v>
      </c>
      <c r="AF89">
        <v>1</v>
      </c>
      <c r="AG89" t="s">
        <v>64</v>
      </c>
      <c r="AH89" s="1" t="s">
        <v>64</v>
      </c>
    </row>
    <row r="90" spans="1:34" ht="14.5">
      <c r="A90" t="s">
        <v>205</v>
      </c>
      <c r="B90" t="s">
        <v>206</v>
      </c>
      <c r="C90" s="24">
        <v>17</v>
      </c>
      <c r="D90" t="s">
        <v>38</v>
      </c>
      <c r="E90" t="s">
        <v>38</v>
      </c>
      <c r="F90" t="s">
        <v>39</v>
      </c>
      <c r="G90" t="s">
        <v>40</v>
      </c>
      <c r="H90" t="s">
        <v>91</v>
      </c>
      <c r="I90" t="s">
        <v>92</v>
      </c>
      <c r="J90" t="s">
        <v>42</v>
      </c>
      <c r="K90" t="s">
        <v>42</v>
      </c>
      <c r="L90" t="s">
        <v>42</v>
      </c>
      <c r="M90" t="s">
        <v>42</v>
      </c>
      <c r="N90" s="39" t="s">
        <v>168</v>
      </c>
      <c r="O90" t="s">
        <v>44</v>
      </c>
      <c r="P90" s="39" t="s">
        <v>169</v>
      </c>
      <c r="Q90" t="s">
        <v>223</v>
      </c>
      <c r="R90" t="s">
        <v>224</v>
      </c>
      <c r="S90" t="s">
        <v>69</v>
      </c>
      <c r="T90" t="s">
        <v>42</v>
      </c>
      <c r="U90" t="s">
        <v>42</v>
      </c>
      <c r="V90" t="s">
        <v>42</v>
      </c>
      <c r="W90" s="8" t="s">
        <v>50</v>
      </c>
      <c r="X90" t="s">
        <v>210</v>
      </c>
      <c r="Y90" s="8">
        <v>1</v>
      </c>
      <c r="Z90">
        <v>3</v>
      </c>
      <c r="AA90">
        <v>0</v>
      </c>
      <c r="AB90">
        <v>2</v>
      </c>
      <c r="AC90">
        <v>2008</v>
      </c>
      <c r="AD90">
        <v>2008</v>
      </c>
      <c r="AE90" s="14" t="s">
        <v>72</v>
      </c>
      <c r="AF90">
        <v>1</v>
      </c>
      <c r="AG90" t="s">
        <v>64</v>
      </c>
      <c r="AH90" t="s">
        <v>64</v>
      </c>
    </row>
    <row r="91" spans="1:34" ht="14.5">
      <c r="A91" t="s">
        <v>205</v>
      </c>
      <c r="B91" t="s">
        <v>206</v>
      </c>
      <c r="C91" s="24">
        <v>18</v>
      </c>
      <c r="D91" t="s">
        <v>38</v>
      </c>
      <c r="E91" t="s">
        <v>38</v>
      </c>
      <c r="F91" t="s">
        <v>39</v>
      </c>
      <c r="G91" t="s">
        <v>40</v>
      </c>
      <c r="H91" t="s">
        <v>91</v>
      </c>
      <c r="I91" t="s">
        <v>92</v>
      </c>
      <c r="J91" t="s">
        <v>42</v>
      </c>
      <c r="K91" t="s">
        <v>42</v>
      </c>
      <c r="L91" t="s">
        <v>42</v>
      </c>
      <c r="M91" t="s">
        <v>42</v>
      </c>
      <c r="N91" s="39" t="s">
        <v>168</v>
      </c>
      <c r="O91" t="s">
        <v>44</v>
      </c>
      <c r="P91" s="39" t="s">
        <v>169</v>
      </c>
      <c r="Q91" t="s">
        <v>225</v>
      </c>
      <c r="R91" t="s">
        <v>226</v>
      </c>
      <c r="S91" t="s">
        <v>69</v>
      </c>
      <c r="T91" t="s">
        <v>42</v>
      </c>
      <c r="U91" t="s">
        <v>42</v>
      </c>
      <c r="V91" t="s">
        <v>42</v>
      </c>
      <c r="W91" s="8" t="s">
        <v>50</v>
      </c>
      <c r="X91" t="s">
        <v>210</v>
      </c>
      <c r="Y91" s="8">
        <v>1</v>
      </c>
      <c r="Z91">
        <v>3</v>
      </c>
      <c r="AA91">
        <v>0</v>
      </c>
      <c r="AB91">
        <v>2</v>
      </c>
      <c r="AC91" s="5">
        <v>2008</v>
      </c>
      <c r="AD91" s="1">
        <v>2008</v>
      </c>
      <c r="AE91" s="6" t="s">
        <v>72</v>
      </c>
      <c r="AF91">
        <v>1</v>
      </c>
      <c r="AG91" t="s">
        <v>64</v>
      </c>
      <c r="AH91" s="1" t="s">
        <v>64</v>
      </c>
    </row>
    <row r="92" spans="1:34" ht="14.5">
      <c r="A92" t="s">
        <v>205</v>
      </c>
      <c r="B92" t="s">
        <v>206</v>
      </c>
      <c r="C92" s="24">
        <v>19</v>
      </c>
      <c r="D92" t="s">
        <v>38</v>
      </c>
      <c r="E92" t="s">
        <v>38</v>
      </c>
      <c r="F92" t="s">
        <v>39</v>
      </c>
      <c r="G92" t="s">
        <v>40</v>
      </c>
      <c r="H92" t="s">
        <v>91</v>
      </c>
      <c r="I92" t="s">
        <v>92</v>
      </c>
      <c r="J92" t="s">
        <v>42</v>
      </c>
      <c r="K92" t="s">
        <v>42</v>
      </c>
      <c r="L92" t="s">
        <v>42</v>
      </c>
      <c r="M92" t="s">
        <v>42</v>
      </c>
      <c r="N92" s="39" t="s">
        <v>43</v>
      </c>
      <c r="O92" t="s">
        <v>44</v>
      </c>
      <c r="P92" s="39" t="s">
        <v>93</v>
      </c>
      <c r="Q92" t="s">
        <v>94</v>
      </c>
      <c r="R92" t="s">
        <v>95</v>
      </c>
      <c r="S92" t="s">
        <v>42</v>
      </c>
      <c r="T92" t="s">
        <v>42</v>
      </c>
      <c r="U92" t="s">
        <v>42</v>
      </c>
      <c r="V92" t="s">
        <v>42</v>
      </c>
      <c r="W92" s="8" t="s">
        <v>50</v>
      </c>
      <c r="X92" t="s">
        <v>85</v>
      </c>
      <c r="Y92" s="8">
        <v>1</v>
      </c>
      <c r="Z92">
        <v>3</v>
      </c>
      <c r="AA92">
        <v>0</v>
      </c>
      <c r="AB92">
        <v>2</v>
      </c>
      <c r="AC92">
        <v>2008</v>
      </c>
      <c r="AD92">
        <v>2008</v>
      </c>
      <c r="AE92" s="14" t="s">
        <v>72</v>
      </c>
      <c r="AF92">
        <v>1</v>
      </c>
      <c r="AG92" t="s">
        <v>64</v>
      </c>
      <c r="AH92" t="s">
        <v>64</v>
      </c>
    </row>
    <row r="93" spans="1:34" s="9" customFormat="1" ht="14.5">
      <c r="A93" s="9" t="s">
        <v>205</v>
      </c>
      <c r="B93" s="9" t="s">
        <v>206</v>
      </c>
      <c r="C93" s="25">
        <v>20</v>
      </c>
      <c r="D93" s="9" t="s">
        <v>38</v>
      </c>
      <c r="E93" s="9" t="s">
        <v>38</v>
      </c>
      <c r="F93" s="9" t="s">
        <v>39</v>
      </c>
      <c r="G93" s="9" t="s">
        <v>40</v>
      </c>
      <c r="H93" s="9" t="s">
        <v>91</v>
      </c>
      <c r="I93" s="9" t="s">
        <v>92</v>
      </c>
      <c r="J93" s="9" t="s">
        <v>42</v>
      </c>
      <c r="K93" s="9" t="s">
        <v>42</v>
      </c>
      <c r="L93" s="9" t="s">
        <v>42</v>
      </c>
      <c r="M93" s="9" t="s">
        <v>42</v>
      </c>
      <c r="N93" s="40" t="s">
        <v>43</v>
      </c>
      <c r="O93" s="9" t="s">
        <v>44</v>
      </c>
      <c r="P93" s="40" t="s">
        <v>93</v>
      </c>
      <c r="Q93" s="9" t="s">
        <v>102</v>
      </c>
      <c r="R93" s="9" t="s">
        <v>103</v>
      </c>
      <c r="S93" s="9" t="s">
        <v>42</v>
      </c>
      <c r="T93" s="9" t="s">
        <v>42</v>
      </c>
      <c r="U93" s="9" t="s">
        <v>42</v>
      </c>
      <c r="V93" s="9" t="s">
        <v>42</v>
      </c>
      <c r="W93" s="9" t="s">
        <v>50</v>
      </c>
      <c r="X93" s="9" t="s">
        <v>85</v>
      </c>
      <c r="Y93" s="11">
        <v>1</v>
      </c>
      <c r="Z93" s="9">
        <v>3</v>
      </c>
      <c r="AA93" s="9">
        <v>0</v>
      </c>
      <c r="AB93" s="9">
        <v>2</v>
      </c>
      <c r="AC93" s="12">
        <v>2008</v>
      </c>
      <c r="AD93" s="10">
        <v>2008</v>
      </c>
      <c r="AE93" s="13" t="s">
        <v>72</v>
      </c>
      <c r="AF93" s="9">
        <v>1</v>
      </c>
      <c r="AG93" s="9" t="s">
        <v>64</v>
      </c>
      <c r="AH93" s="10" t="s">
        <v>64</v>
      </c>
    </row>
    <row r="94" spans="1:34" ht="14.5">
      <c r="A94" t="s">
        <v>227</v>
      </c>
      <c r="B94" t="s">
        <v>228</v>
      </c>
      <c r="C94" s="24">
        <v>1</v>
      </c>
      <c r="D94" t="s">
        <v>38</v>
      </c>
      <c r="E94" t="s">
        <v>38</v>
      </c>
      <c r="F94" t="s">
        <v>39</v>
      </c>
      <c r="G94" t="s">
        <v>40</v>
      </c>
      <c r="H94" t="s">
        <v>41</v>
      </c>
      <c r="I94" t="s">
        <v>42</v>
      </c>
      <c r="J94" t="s">
        <v>42</v>
      </c>
      <c r="K94" t="s">
        <v>42</v>
      </c>
      <c r="L94" t="s">
        <v>42</v>
      </c>
      <c r="M94" t="s">
        <v>42</v>
      </c>
      <c r="N94" s="39" t="s">
        <v>52</v>
      </c>
      <c r="O94" t="s">
        <v>229</v>
      </c>
      <c r="P94" s="39" t="s">
        <v>52</v>
      </c>
      <c r="Q94" t="s">
        <v>46</v>
      </c>
      <c r="R94" t="s">
        <v>230</v>
      </c>
      <c r="S94" t="s">
        <v>69</v>
      </c>
      <c r="T94" t="s">
        <v>131</v>
      </c>
      <c r="U94" t="s">
        <v>42</v>
      </c>
      <c r="V94" t="s">
        <v>42</v>
      </c>
      <c r="W94" s="8" t="s">
        <v>64</v>
      </c>
      <c r="X94" t="s">
        <v>42</v>
      </c>
      <c r="Y94" s="8">
        <v>0</v>
      </c>
      <c r="Z94">
        <v>2</v>
      </c>
      <c r="AA94">
        <v>0</v>
      </c>
      <c r="AB94">
        <v>2</v>
      </c>
      <c r="AC94" s="5">
        <v>2017</v>
      </c>
      <c r="AD94" s="1">
        <v>2018</v>
      </c>
      <c r="AE94" s="6" t="s">
        <v>72</v>
      </c>
      <c r="AF94">
        <v>2</v>
      </c>
      <c r="AG94" t="s">
        <v>64</v>
      </c>
      <c r="AH94" s="1" t="s">
        <v>64</v>
      </c>
    </row>
    <row r="95" spans="1:34" ht="14.5">
      <c r="A95" t="s">
        <v>227</v>
      </c>
      <c r="B95" t="s">
        <v>228</v>
      </c>
      <c r="C95" s="24">
        <v>2</v>
      </c>
      <c r="D95" t="s">
        <v>38</v>
      </c>
      <c r="E95" t="s">
        <v>38</v>
      </c>
      <c r="F95" t="s">
        <v>39</v>
      </c>
      <c r="G95" t="s">
        <v>40</v>
      </c>
      <c r="H95" t="s">
        <v>41</v>
      </c>
      <c r="I95" t="s">
        <v>42</v>
      </c>
      <c r="J95" t="s">
        <v>42</v>
      </c>
      <c r="K95" t="s">
        <v>42</v>
      </c>
      <c r="L95" t="s">
        <v>42</v>
      </c>
      <c r="M95" t="s">
        <v>42</v>
      </c>
      <c r="N95" s="39" t="s">
        <v>57</v>
      </c>
      <c r="O95" t="s">
        <v>229</v>
      </c>
      <c r="P95" s="39" t="s">
        <v>57</v>
      </c>
      <c r="Q95" t="s">
        <v>46</v>
      </c>
      <c r="R95" t="s">
        <v>230</v>
      </c>
      <c r="S95" t="s">
        <v>59</v>
      </c>
      <c r="T95" t="s">
        <v>131</v>
      </c>
      <c r="U95" t="s">
        <v>42</v>
      </c>
      <c r="V95" t="s">
        <v>42</v>
      </c>
      <c r="W95" s="8" t="s">
        <v>64</v>
      </c>
      <c r="X95" t="s">
        <v>42</v>
      </c>
      <c r="Y95" s="8">
        <v>0</v>
      </c>
      <c r="Z95">
        <v>2</v>
      </c>
      <c r="AA95">
        <v>0</v>
      </c>
      <c r="AB95">
        <v>2</v>
      </c>
      <c r="AC95" s="5">
        <v>2017</v>
      </c>
      <c r="AD95" s="1">
        <v>2018</v>
      </c>
      <c r="AE95" s="6" t="s">
        <v>72</v>
      </c>
      <c r="AF95">
        <v>2</v>
      </c>
      <c r="AG95" t="s">
        <v>64</v>
      </c>
      <c r="AH95" s="1" t="s">
        <v>64</v>
      </c>
    </row>
    <row r="96" spans="1:34" ht="14.5">
      <c r="A96" t="s">
        <v>227</v>
      </c>
      <c r="B96" t="s">
        <v>228</v>
      </c>
      <c r="C96" s="24">
        <v>3</v>
      </c>
      <c r="D96" t="s">
        <v>38</v>
      </c>
      <c r="E96" t="s">
        <v>38</v>
      </c>
      <c r="F96" t="s">
        <v>39</v>
      </c>
      <c r="G96" t="s">
        <v>40</v>
      </c>
      <c r="H96" t="s">
        <v>41</v>
      </c>
      <c r="I96" t="s">
        <v>42</v>
      </c>
      <c r="J96" t="s">
        <v>42</v>
      </c>
      <c r="K96" t="s">
        <v>42</v>
      </c>
      <c r="L96" t="s">
        <v>42</v>
      </c>
      <c r="M96" t="s">
        <v>42</v>
      </c>
      <c r="N96" s="39" t="s">
        <v>43</v>
      </c>
      <c r="O96" t="s">
        <v>229</v>
      </c>
      <c r="P96" s="39" t="s">
        <v>73</v>
      </c>
      <c r="Q96" t="s">
        <v>46</v>
      </c>
      <c r="R96" t="s">
        <v>230</v>
      </c>
      <c r="S96" t="s">
        <v>48</v>
      </c>
      <c r="T96" t="s">
        <v>131</v>
      </c>
      <c r="U96" t="s">
        <v>42</v>
      </c>
      <c r="V96" t="s">
        <v>42</v>
      </c>
      <c r="W96" s="8" t="s">
        <v>64</v>
      </c>
      <c r="X96" t="s">
        <v>42</v>
      </c>
      <c r="Y96" s="8">
        <v>0</v>
      </c>
      <c r="Z96">
        <v>2</v>
      </c>
      <c r="AA96">
        <v>0</v>
      </c>
      <c r="AB96">
        <v>2</v>
      </c>
      <c r="AC96" s="5">
        <v>2017</v>
      </c>
      <c r="AD96" s="1">
        <v>2018</v>
      </c>
      <c r="AE96" s="6" t="s">
        <v>72</v>
      </c>
      <c r="AF96">
        <v>2</v>
      </c>
      <c r="AG96" t="s">
        <v>64</v>
      </c>
      <c r="AH96" s="1" t="s">
        <v>64</v>
      </c>
    </row>
    <row r="97" spans="1:34" ht="14.5">
      <c r="A97" t="s">
        <v>227</v>
      </c>
      <c r="B97" t="s">
        <v>228</v>
      </c>
      <c r="C97" s="24">
        <v>4</v>
      </c>
      <c r="D97" t="s">
        <v>38</v>
      </c>
      <c r="E97" t="s">
        <v>38</v>
      </c>
      <c r="F97" t="s">
        <v>39</v>
      </c>
      <c r="G97" t="s">
        <v>40</v>
      </c>
      <c r="H97" t="s">
        <v>91</v>
      </c>
      <c r="I97" t="s">
        <v>92</v>
      </c>
      <c r="J97" t="s">
        <v>42</v>
      </c>
      <c r="K97" t="s">
        <v>42</v>
      </c>
      <c r="L97" t="s">
        <v>42</v>
      </c>
      <c r="M97" t="s">
        <v>42</v>
      </c>
      <c r="N97" s="39" t="s">
        <v>231</v>
      </c>
      <c r="O97" t="s">
        <v>229</v>
      </c>
      <c r="P97" s="39" t="s">
        <v>232</v>
      </c>
      <c r="Q97" t="s">
        <v>46</v>
      </c>
      <c r="R97" t="s">
        <v>230</v>
      </c>
      <c r="S97" t="s">
        <v>88</v>
      </c>
      <c r="T97" t="s">
        <v>233</v>
      </c>
      <c r="U97" t="s">
        <v>42</v>
      </c>
      <c r="V97" t="s">
        <v>42</v>
      </c>
      <c r="W97" s="8" t="s">
        <v>64</v>
      </c>
      <c r="X97" t="s">
        <v>42</v>
      </c>
      <c r="Y97" s="8">
        <v>0</v>
      </c>
      <c r="Z97">
        <v>2</v>
      </c>
      <c r="AA97">
        <v>0</v>
      </c>
      <c r="AB97">
        <v>2</v>
      </c>
      <c r="AC97" s="5">
        <v>2017</v>
      </c>
      <c r="AD97" s="1">
        <v>2018</v>
      </c>
      <c r="AE97" s="6" t="s">
        <v>72</v>
      </c>
      <c r="AF97">
        <v>2</v>
      </c>
      <c r="AG97" t="s">
        <v>64</v>
      </c>
      <c r="AH97" s="1" t="s">
        <v>64</v>
      </c>
    </row>
    <row r="98" spans="1:34" ht="14.5">
      <c r="A98" t="s">
        <v>227</v>
      </c>
      <c r="B98" t="s">
        <v>228</v>
      </c>
      <c r="C98" s="24">
        <v>5</v>
      </c>
      <c r="D98" t="s">
        <v>38</v>
      </c>
      <c r="E98" t="s">
        <v>38</v>
      </c>
      <c r="F98" t="s">
        <v>39</v>
      </c>
      <c r="G98" t="s">
        <v>40</v>
      </c>
      <c r="H98" t="s">
        <v>91</v>
      </c>
      <c r="I98" t="s">
        <v>92</v>
      </c>
      <c r="J98" t="s">
        <v>42</v>
      </c>
      <c r="K98" t="s">
        <v>42</v>
      </c>
      <c r="L98" t="s">
        <v>42</v>
      </c>
      <c r="M98" t="s">
        <v>42</v>
      </c>
      <c r="N98" s="39" t="s">
        <v>231</v>
      </c>
      <c r="O98" t="s">
        <v>229</v>
      </c>
      <c r="P98" s="39" t="s">
        <v>234</v>
      </c>
      <c r="Q98" t="s">
        <v>46</v>
      </c>
      <c r="R98" t="s">
        <v>230</v>
      </c>
      <c r="S98" t="s">
        <v>88</v>
      </c>
      <c r="T98" t="s">
        <v>233</v>
      </c>
      <c r="U98" t="s">
        <v>42</v>
      </c>
      <c r="V98" t="s">
        <v>42</v>
      </c>
      <c r="W98" s="8" t="s">
        <v>64</v>
      </c>
      <c r="X98" t="s">
        <v>42</v>
      </c>
      <c r="Y98" s="8">
        <v>0</v>
      </c>
      <c r="Z98">
        <v>2</v>
      </c>
      <c r="AA98">
        <v>0</v>
      </c>
      <c r="AB98">
        <v>2</v>
      </c>
      <c r="AC98" s="5">
        <v>2017</v>
      </c>
      <c r="AD98" s="1">
        <v>2018</v>
      </c>
      <c r="AE98" s="6" t="s">
        <v>72</v>
      </c>
      <c r="AF98">
        <v>2</v>
      </c>
      <c r="AG98" t="s">
        <v>64</v>
      </c>
      <c r="AH98" s="1" t="s">
        <v>64</v>
      </c>
    </row>
    <row r="99" spans="1:34" ht="14.5">
      <c r="A99" t="s">
        <v>227</v>
      </c>
      <c r="B99" t="s">
        <v>228</v>
      </c>
      <c r="C99" s="24">
        <v>6</v>
      </c>
      <c r="D99" t="s">
        <v>38</v>
      </c>
      <c r="E99" t="s">
        <v>38</v>
      </c>
      <c r="F99" t="s">
        <v>39</v>
      </c>
      <c r="G99" t="s">
        <v>40</v>
      </c>
      <c r="H99" t="s">
        <v>91</v>
      </c>
      <c r="I99" t="s">
        <v>92</v>
      </c>
      <c r="J99" t="s">
        <v>42</v>
      </c>
      <c r="K99" t="s">
        <v>42</v>
      </c>
      <c r="L99" t="s">
        <v>42</v>
      </c>
      <c r="M99" t="s">
        <v>42</v>
      </c>
      <c r="N99" s="39" t="s">
        <v>231</v>
      </c>
      <c r="O99" t="s">
        <v>229</v>
      </c>
      <c r="P99" s="39" t="s">
        <v>235</v>
      </c>
      <c r="Q99" t="s">
        <v>46</v>
      </c>
      <c r="R99" t="s">
        <v>230</v>
      </c>
      <c r="S99" t="s">
        <v>88</v>
      </c>
      <c r="T99" t="s">
        <v>233</v>
      </c>
      <c r="U99" t="s">
        <v>42</v>
      </c>
      <c r="V99" t="s">
        <v>42</v>
      </c>
      <c r="W99" s="8" t="s">
        <v>64</v>
      </c>
      <c r="X99" t="s">
        <v>42</v>
      </c>
      <c r="Y99" s="8">
        <v>0</v>
      </c>
      <c r="Z99">
        <v>2</v>
      </c>
      <c r="AA99">
        <v>0</v>
      </c>
      <c r="AB99">
        <v>2</v>
      </c>
      <c r="AC99" s="5">
        <v>2017</v>
      </c>
      <c r="AD99" s="1">
        <v>2018</v>
      </c>
      <c r="AE99" s="6" t="s">
        <v>72</v>
      </c>
      <c r="AF99">
        <v>2</v>
      </c>
      <c r="AG99" t="s">
        <v>64</v>
      </c>
      <c r="AH99" s="1" t="s">
        <v>64</v>
      </c>
    </row>
    <row r="100" spans="1:34" ht="14.5">
      <c r="A100" t="s">
        <v>227</v>
      </c>
      <c r="B100" t="s">
        <v>228</v>
      </c>
      <c r="C100" s="24">
        <v>7</v>
      </c>
      <c r="D100" t="s">
        <v>38</v>
      </c>
      <c r="E100" t="s">
        <v>38</v>
      </c>
      <c r="F100" t="s">
        <v>39</v>
      </c>
      <c r="G100" t="s">
        <v>40</v>
      </c>
      <c r="H100" t="s">
        <v>91</v>
      </c>
      <c r="I100" t="s">
        <v>92</v>
      </c>
      <c r="J100" t="s">
        <v>42</v>
      </c>
      <c r="K100" t="s">
        <v>42</v>
      </c>
      <c r="L100" t="s">
        <v>42</v>
      </c>
      <c r="M100" t="s">
        <v>42</v>
      </c>
      <c r="N100" s="39" t="s">
        <v>231</v>
      </c>
      <c r="O100" t="s">
        <v>229</v>
      </c>
      <c r="P100" s="39" t="s">
        <v>236</v>
      </c>
      <c r="Q100" t="s">
        <v>46</v>
      </c>
      <c r="R100" t="s">
        <v>230</v>
      </c>
      <c r="S100" t="s">
        <v>88</v>
      </c>
      <c r="T100" t="s">
        <v>233</v>
      </c>
      <c r="U100" t="s">
        <v>42</v>
      </c>
      <c r="V100" t="s">
        <v>42</v>
      </c>
      <c r="W100" s="8" t="s">
        <v>64</v>
      </c>
      <c r="X100" t="s">
        <v>42</v>
      </c>
      <c r="Y100" s="8">
        <v>0</v>
      </c>
      <c r="Z100">
        <v>2</v>
      </c>
      <c r="AA100">
        <v>0</v>
      </c>
      <c r="AB100">
        <v>2</v>
      </c>
      <c r="AC100" s="5">
        <v>2017</v>
      </c>
      <c r="AD100" s="1">
        <v>2018</v>
      </c>
      <c r="AE100" s="6" t="s">
        <v>72</v>
      </c>
      <c r="AF100">
        <v>2</v>
      </c>
      <c r="AG100" t="s">
        <v>64</v>
      </c>
      <c r="AH100" s="1" t="s">
        <v>64</v>
      </c>
    </row>
    <row r="101" spans="1:34" s="9" customFormat="1" ht="14.5">
      <c r="A101" s="9" t="s">
        <v>227</v>
      </c>
      <c r="B101" s="9" t="s">
        <v>228</v>
      </c>
      <c r="C101" s="25">
        <v>8</v>
      </c>
      <c r="D101" s="9" t="s">
        <v>38</v>
      </c>
      <c r="E101" s="9" t="s">
        <v>38</v>
      </c>
      <c r="F101" s="9" t="s">
        <v>39</v>
      </c>
      <c r="G101" s="9" t="s">
        <v>40</v>
      </c>
      <c r="H101" s="9" t="s">
        <v>91</v>
      </c>
      <c r="I101" s="9" t="s">
        <v>92</v>
      </c>
      <c r="J101" s="9" t="s">
        <v>42</v>
      </c>
      <c r="K101" s="9" t="s">
        <v>42</v>
      </c>
      <c r="L101" s="9" t="s">
        <v>42</v>
      </c>
      <c r="M101" s="9" t="s">
        <v>42</v>
      </c>
      <c r="N101" s="40" t="s">
        <v>231</v>
      </c>
      <c r="O101" s="9" t="s">
        <v>229</v>
      </c>
      <c r="P101" s="40" t="s">
        <v>237</v>
      </c>
      <c r="Q101" s="9" t="s">
        <v>46</v>
      </c>
      <c r="R101" s="9" t="s">
        <v>230</v>
      </c>
      <c r="S101" s="9" t="s">
        <v>88</v>
      </c>
      <c r="T101" s="9" t="s">
        <v>233</v>
      </c>
      <c r="U101" s="9" t="s">
        <v>42</v>
      </c>
      <c r="V101" s="9" t="s">
        <v>42</v>
      </c>
      <c r="W101" s="11" t="s">
        <v>64</v>
      </c>
      <c r="X101" s="9" t="s">
        <v>42</v>
      </c>
      <c r="Y101" s="11">
        <v>0</v>
      </c>
      <c r="Z101" s="9">
        <v>2</v>
      </c>
      <c r="AA101" s="9">
        <v>0</v>
      </c>
      <c r="AB101" s="9">
        <v>2</v>
      </c>
      <c r="AC101" s="12">
        <v>2017</v>
      </c>
      <c r="AD101" s="10">
        <v>2018</v>
      </c>
      <c r="AE101" s="13" t="s">
        <v>72</v>
      </c>
      <c r="AF101" s="9">
        <v>2</v>
      </c>
      <c r="AG101" s="9" t="s">
        <v>64</v>
      </c>
      <c r="AH101" s="10" t="s">
        <v>64</v>
      </c>
    </row>
    <row r="102" spans="1:34" ht="14.5">
      <c r="A102" t="s">
        <v>238</v>
      </c>
      <c r="B102" t="s">
        <v>239</v>
      </c>
      <c r="C102" s="24">
        <v>1</v>
      </c>
      <c r="D102" t="s">
        <v>38</v>
      </c>
      <c r="E102" t="s">
        <v>38</v>
      </c>
      <c r="F102" t="s">
        <v>39</v>
      </c>
      <c r="G102" t="s">
        <v>40</v>
      </c>
      <c r="H102" t="s">
        <v>91</v>
      </c>
      <c r="I102" t="s">
        <v>42</v>
      </c>
      <c r="J102" t="s">
        <v>42</v>
      </c>
      <c r="K102" t="s">
        <v>42</v>
      </c>
      <c r="L102" t="s">
        <v>42</v>
      </c>
      <c r="M102" s="1" t="s">
        <v>42</v>
      </c>
      <c r="N102" s="39" t="s">
        <v>52</v>
      </c>
      <c r="O102" t="s">
        <v>44</v>
      </c>
      <c r="P102" s="39" t="s">
        <v>132</v>
      </c>
      <c r="Q102" t="s">
        <v>94</v>
      </c>
      <c r="R102" t="s">
        <v>240</v>
      </c>
      <c r="S102" t="s">
        <v>164</v>
      </c>
      <c r="T102" t="s">
        <v>42</v>
      </c>
      <c r="U102" t="s">
        <v>42</v>
      </c>
      <c r="V102" t="s">
        <v>42</v>
      </c>
      <c r="W102" s="8" t="s">
        <v>50</v>
      </c>
      <c r="X102" t="s">
        <v>85</v>
      </c>
      <c r="Y102" s="8">
        <v>0</v>
      </c>
      <c r="Z102">
        <v>3</v>
      </c>
      <c r="AA102">
        <v>0</v>
      </c>
      <c r="AB102">
        <v>3</v>
      </c>
      <c r="AC102" s="5">
        <v>2010</v>
      </c>
      <c r="AD102" s="1">
        <v>2010</v>
      </c>
      <c r="AE102" s="6" t="s">
        <v>72</v>
      </c>
      <c r="AF102">
        <v>1</v>
      </c>
      <c r="AG102" t="s">
        <v>64</v>
      </c>
      <c r="AH102" s="1" t="s">
        <v>64</v>
      </c>
    </row>
    <row r="103" spans="1:34" ht="14.5">
      <c r="A103" t="s">
        <v>238</v>
      </c>
      <c r="B103" t="s">
        <v>239</v>
      </c>
      <c r="C103" s="24">
        <v>2</v>
      </c>
      <c r="D103" t="s">
        <v>38</v>
      </c>
      <c r="E103" t="s">
        <v>38</v>
      </c>
      <c r="F103" t="s">
        <v>39</v>
      </c>
      <c r="G103" t="s">
        <v>40</v>
      </c>
      <c r="H103" t="s">
        <v>91</v>
      </c>
      <c r="I103" t="s">
        <v>92</v>
      </c>
      <c r="J103" t="s">
        <v>42</v>
      </c>
      <c r="K103" t="s">
        <v>42</v>
      </c>
      <c r="L103" t="s">
        <v>42</v>
      </c>
      <c r="M103" s="1" t="s">
        <v>42</v>
      </c>
      <c r="N103" s="39" t="s">
        <v>168</v>
      </c>
      <c r="O103" t="s">
        <v>44</v>
      </c>
      <c r="P103" s="39" t="s">
        <v>169</v>
      </c>
      <c r="Q103" s="16" t="s">
        <v>172</v>
      </c>
      <c r="R103" t="s">
        <v>241</v>
      </c>
      <c r="S103" t="s">
        <v>88</v>
      </c>
      <c r="T103" t="s">
        <v>242</v>
      </c>
      <c r="U103" t="s">
        <v>42</v>
      </c>
      <c r="V103" t="s">
        <v>42</v>
      </c>
      <c r="W103" s="8" t="s">
        <v>50</v>
      </c>
      <c r="X103" t="s">
        <v>243</v>
      </c>
      <c r="Y103" s="8">
        <v>0</v>
      </c>
      <c r="Z103">
        <v>3</v>
      </c>
      <c r="AA103">
        <v>0</v>
      </c>
      <c r="AB103">
        <v>3</v>
      </c>
      <c r="AC103" s="5">
        <v>2010</v>
      </c>
      <c r="AD103" s="1">
        <v>2010</v>
      </c>
      <c r="AE103" s="6" t="s">
        <v>72</v>
      </c>
      <c r="AF103">
        <v>1</v>
      </c>
      <c r="AG103" t="s">
        <v>64</v>
      </c>
      <c r="AH103" s="1" t="s">
        <v>64</v>
      </c>
    </row>
    <row r="104" spans="1:34" ht="14.5">
      <c r="A104" t="s">
        <v>238</v>
      </c>
      <c r="B104" t="s">
        <v>239</v>
      </c>
      <c r="C104" s="24">
        <v>3</v>
      </c>
      <c r="D104" t="s">
        <v>38</v>
      </c>
      <c r="E104" t="s">
        <v>38</v>
      </c>
      <c r="F104" t="s">
        <v>39</v>
      </c>
      <c r="G104" t="s">
        <v>40</v>
      </c>
      <c r="H104" t="s">
        <v>91</v>
      </c>
      <c r="I104" t="s">
        <v>92</v>
      </c>
      <c r="J104" t="s">
        <v>42</v>
      </c>
      <c r="K104" t="s">
        <v>42</v>
      </c>
      <c r="L104" t="s">
        <v>42</v>
      </c>
      <c r="M104" s="1" t="s">
        <v>42</v>
      </c>
      <c r="N104" s="39" t="s">
        <v>168</v>
      </c>
      <c r="O104" t="s">
        <v>44</v>
      </c>
      <c r="P104" s="39" t="s">
        <v>244</v>
      </c>
      <c r="Q104" t="s">
        <v>172</v>
      </c>
      <c r="R104" t="s">
        <v>241</v>
      </c>
      <c r="S104" t="s">
        <v>245</v>
      </c>
      <c r="T104" t="s">
        <v>242</v>
      </c>
      <c r="U104" t="s">
        <v>42</v>
      </c>
      <c r="V104" t="s">
        <v>42</v>
      </c>
      <c r="W104" s="8" t="s">
        <v>50</v>
      </c>
      <c r="X104" t="s">
        <v>246</v>
      </c>
      <c r="Y104" s="8">
        <v>0</v>
      </c>
      <c r="Z104">
        <v>3</v>
      </c>
      <c r="AA104">
        <v>0</v>
      </c>
      <c r="AB104">
        <v>3</v>
      </c>
      <c r="AC104" s="5">
        <v>2010</v>
      </c>
      <c r="AD104" s="1">
        <v>2010</v>
      </c>
      <c r="AE104" s="6" t="s">
        <v>72</v>
      </c>
      <c r="AF104">
        <v>1</v>
      </c>
      <c r="AG104" t="s">
        <v>64</v>
      </c>
      <c r="AH104" s="1" t="s">
        <v>64</v>
      </c>
    </row>
    <row r="105" spans="1:34" s="9" customFormat="1" ht="14.5">
      <c r="A105" s="9" t="s">
        <v>238</v>
      </c>
      <c r="B105" s="9" t="s">
        <v>239</v>
      </c>
      <c r="C105" s="25">
        <v>4</v>
      </c>
      <c r="D105" s="9" t="s">
        <v>38</v>
      </c>
      <c r="E105" s="9" t="s">
        <v>38</v>
      </c>
      <c r="F105" s="9" t="s">
        <v>39</v>
      </c>
      <c r="G105" s="9" t="s">
        <v>40</v>
      </c>
      <c r="H105" s="9" t="s">
        <v>91</v>
      </c>
      <c r="I105" s="9" t="s">
        <v>92</v>
      </c>
      <c r="J105" s="9" t="s">
        <v>42</v>
      </c>
      <c r="K105" s="9" t="s">
        <v>42</v>
      </c>
      <c r="L105" s="9" t="s">
        <v>42</v>
      </c>
      <c r="M105" s="10" t="s">
        <v>42</v>
      </c>
      <c r="N105" s="40" t="s">
        <v>43</v>
      </c>
      <c r="O105" s="9" t="s">
        <v>44</v>
      </c>
      <c r="P105" s="40" t="s">
        <v>247</v>
      </c>
      <c r="Q105" s="9" t="s">
        <v>94</v>
      </c>
      <c r="R105" s="9" t="s">
        <v>240</v>
      </c>
      <c r="S105" s="9" t="s">
        <v>136</v>
      </c>
      <c r="T105" s="9" t="s">
        <v>248</v>
      </c>
      <c r="U105" s="9" t="s">
        <v>42</v>
      </c>
      <c r="V105" s="9" t="s">
        <v>42</v>
      </c>
      <c r="W105" s="11" t="s">
        <v>50</v>
      </c>
      <c r="X105" s="9" t="s">
        <v>85</v>
      </c>
      <c r="Y105" s="11">
        <v>0</v>
      </c>
      <c r="Z105" s="9">
        <v>3</v>
      </c>
      <c r="AA105" s="9">
        <v>0</v>
      </c>
      <c r="AB105" s="9">
        <v>3</v>
      </c>
      <c r="AC105" s="12">
        <v>2010</v>
      </c>
      <c r="AD105" s="10">
        <v>2010</v>
      </c>
      <c r="AE105" s="13" t="s">
        <v>72</v>
      </c>
      <c r="AF105" s="9">
        <v>1</v>
      </c>
      <c r="AG105" s="9" t="s">
        <v>64</v>
      </c>
      <c r="AH105" s="10" t="s">
        <v>64</v>
      </c>
    </row>
    <row r="106" spans="1:34" ht="14.5">
      <c r="A106" t="s">
        <v>249</v>
      </c>
      <c r="B106" t="s">
        <v>250</v>
      </c>
      <c r="C106" s="24">
        <v>1</v>
      </c>
      <c r="D106" t="s">
        <v>38</v>
      </c>
      <c r="E106" t="s">
        <v>38</v>
      </c>
      <c r="F106" t="s">
        <v>39</v>
      </c>
      <c r="G106" t="s">
        <v>40</v>
      </c>
      <c r="H106" t="s">
        <v>251</v>
      </c>
      <c r="I106" t="s">
        <v>252</v>
      </c>
      <c r="J106" t="s">
        <v>42</v>
      </c>
      <c r="K106" t="s">
        <v>42</v>
      </c>
      <c r="L106" t="s">
        <v>42</v>
      </c>
      <c r="M106" t="s">
        <v>42</v>
      </c>
      <c r="N106" s="39" t="s">
        <v>60</v>
      </c>
      <c r="O106" t="s">
        <v>44</v>
      </c>
      <c r="P106" s="39" t="s">
        <v>253</v>
      </c>
      <c r="Q106" t="s">
        <v>254</v>
      </c>
      <c r="R106" t="s">
        <v>255</v>
      </c>
      <c r="S106" t="s">
        <v>256</v>
      </c>
      <c r="T106" t="s">
        <v>42</v>
      </c>
      <c r="U106" t="s">
        <v>42</v>
      </c>
      <c r="V106" t="s">
        <v>42</v>
      </c>
      <c r="W106" s="8" t="s">
        <v>50</v>
      </c>
      <c r="X106" t="s">
        <v>257</v>
      </c>
      <c r="Y106" s="8">
        <v>1</v>
      </c>
      <c r="Z106">
        <v>0</v>
      </c>
      <c r="AA106">
        <v>0</v>
      </c>
      <c r="AB106">
        <v>0</v>
      </c>
      <c r="AC106" s="5">
        <v>2001</v>
      </c>
      <c r="AD106" s="1">
        <v>2003</v>
      </c>
      <c r="AE106" s="6">
        <f t="shared" ref="AE106:AE122" si="2">AD106-AC106</f>
        <v>2</v>
      </c>
      <c r="AF106">
        <v>3</v>
      </c>
      <c r="AG106" t="s">
        <v>64</v>
      </c>
      <c r="AH106" s="1" t="s">
        <v>64</v>
      </c>
    </row>
    <row r="107" spans="1:34" ht="14.5">
      <c r="A107" t="s">
        <v>249</v>
      </c>
      <c r="B107" t="s">
        <v>250</v>
      </c>
      <c r="C107" s="24">
        <v>2</v>
      </c>
      <c r="D107" t="s">
        <v>38</v>
      </c>
      <c r="E107" t="s">
        <v>38</v>
      </c>
      <c r="F107" t="s">
        <v>39</v>
      </c>
      <c r="G107" t="s">
        <v>40</v>
      </c>
      <c r="H107" t="s">
        <v>41</v>
      </c>
      <c r="I107" t="s">
        <v>42</v>
      </c>
      <c r="J107" t="s">
        <v>42</v>
      </c>
      <c r="K107" t="s">
        <v>42</v>
      </c>
      <c r="L107" t="s">
        <v>42</v>
      </c>
      <c r="M107" t="s">
        <v>42</v>
      </c>
      <c r="N107" s="39" t="s">
        <v>52</v>
      </c>
      <c r="O107" t="s">
        <v>229</v>
      </c>
      <c r="P107" s="39" t="s">
        <v>52</v>
      </c>
      <c r="Q107" t="s">
        <v>254</v>
      </c>
      <c r="R107" s="15" t="s">
        <v>255</v>
      </c>
      <c r="S107" t="s">
        <v>69</v>
      </c>
      <c r="T107" t="s">
        <v>258</v>
      </c>
      <c r="U107" t="s">
        <v>42</v>
      </c>
      <c r="V107" t="s">
        <v>42</v>
      </c>
      <c r="W107" s="8" t="s">
        <v>64</v>
      </c>
      <c r="X107" t="s">
        <v>42</v>
      </c>
      <c r="Y107" s="8">
        <v>1</v>
      </c>
      <c r="Z107">
        <v>0</v>
      </c>
      <c r="AA107">
        <v>0</v>
      </c>
      <c r="AB107">
        <v>0</v>
      </c>
      <c r="AC107" s="5">
        <v>2001</v>
      </c>
      <c r="AD107" s="1">
        <v>2003</v>
      </c>
      <c r="AE107" s="6">
        <f t="shared" si="2"/>
        <v>2</v>
      </c>
      <c r="AF107">
        <v>3</v>
      </c>
      <c r="AG107" t="s">
        <v>64</v>
      </c>
      <c r="AH107" s="1" t="s">
        <v>64</v>
      </c>
    </row>
    <row r="108" spans="1:34" ht="14.5">
      <c r="A108" t="s">
        <v>249</v>
      </c>
      <c r="B108" t="s">
        <v>250</v>
      </c>
      <c r="C108" s="24">
        <v>3</v>
      </c>
      <c r="D108" t="s">
        <v>38</v>
      </c>
      <c r="E108" t="s">
        <v>38</v>
      </c>
      <c r="F108" t="s">
        <v>39</v>
      </c>
      <c r="G108" t="s">
        <v>40</v>
      </c>
      <c r="H108" t="s">
        <v>41</v>
      </c>
      <c r="I108" t="s">
        <v>42</v>
      </c>
      <c r="J108" t="s">
        <v>42</v>
      </c>
      <c r="K108" t="s">
        <v>42</v>
      </c>
      <c r="L108" t="s">
        <v>42</v>
      </c>
      <c r="M108" t="s">
        <v>42</v>
      </c>
      <c r="N108" s="39" t="s">
        <v>132</v>
      </c>
      <c r="O108" t="s">
        <v>229</v>
      </c>
      <c r="P108" s="39" t="s">
        <v>132</v>
      </c>
      <c r="Q108" t="s">
        <v>254</v>
      </c>
      <c r="R108" s="15" t="s">
        <v>255</v>
      </c>
      <c r="S108" t="s">
        <v>181</v>
      </c>
      <c r="T108" t="s">
        <v>42</v>
      </c>
      <c r="U108" t="s">
        <v>42</v>
      </c>
      <c r="V108" t="s">
        <v>42</v>
      </c>
      <c r="W108" s="8" t="s">
        <v>64</v>
      </c>
      <c r="X108" t="s">
        <v>42</v>
      </c>
      <c r="Y108" s="8">
        <v>1</v>
      </c>
      <c r="Z108">
        <v>0</v>
      </c>
      <c r="AA108">
        <v>0</v>
      </c>
      <c r="AB108">
        <v>0</v>
      </c>
      <c r="AC108" s="5">
        <v>2001</v>
      </c>
      <c r="AD108" s="1">
        <v>2003</v>
      </c>
      <c r="AE108" s="6">
        <f t="shared" si="2"/>
        <v>2</v>
      </c>
      <c r="AF108">
        <v>3</v>
      </c>
      <c r="AG108" t="s">
        <v>64</v>
      </c>
      <c r="AH108" s="1" t="s">
        <v>64</v>
      </c>
    </row>
    <row r="109" spans="1:34" ht="14.5">
      <c r="A109" t="s">
        <v>249</v>
      </c>
      <c r="B109" t="s">
        <v>250</v>
      </c>
      <c r="C109" s="24">
        <v>4</v>
      </c>
      <c r="D109" t="s">
        <v>38</v>
      </c>
      <c r="E109" t="s">
        <v>38</v>
      </c>
      <c r="F109" t="s">
        <v>39</v>
      </c>
      <c r="G109" t="s">
        <v>40</v>
      </c>
      <c r="H109" t="s">
        <v>41</v>
      </c>
      <c r="I109" t="s">
        <v>42</v>
      </c>
      <c r="J109" t="s">
        <v>42</v>
      </c>
      <c r="K109" t="s">
        <v>42</v>
      </c>
      <c r="L109" t="s">
        <v>42</v>
      </c>
      <c r="M109" t="s">
        <v>42</v>
      </c>
      <c r="N109" s="39" t="s">
        <v>43</v>
      </c>
      <c r="O109" t="s">
        <v>229</v>
      </c>
      <c r="P109" s="39" t="s">
        <v>127</v>
      </c>
      <c r="Q109" t="s">
        <v>254</v>
      </c>
      <c r="R109" s="15" t="s">
        <v>255</v>
      </c>
      <c r="S109" t="s">
        <v>136</v>
      </c>
      <c r="T109" t="s">
        <v>42</v>
      </c>
      <c r="U109" t="s">
        <v>42</v>
      </c>
      <c r="V109" t="s">
        <v>42</v>
      </c>
      <c r="W109" s="8" t="s">
        <v>64</v>
      </c>
      <c r="X109" t="s">
        <v>42</v>
      </c>
      <c r="Y109" s="8">
        <v>1</v>
      </c>
      <c r="Z109">
        <v>0</v>
      </c>
      <c r="AA109">
        <v>0</v>
      </c>
      <c r="AB109">
        <v>0</v>
      </c>
      <c r="AC109" s="5">
        <v>2001</v>
      </c>
      <c r="AD109" s="1">
        <v>2003</v>
      </c>
      <c r="AE109" s="6">
        <f t="shared" si="2"/>
        <v>2</v>
      </c>
      <c r="AF109">
        <v>3</v>
      </c>
      <c r="AG109" t="s">
        <v>64</v>
      </c>
      <c r="AH109" s="1" t="s">
        <v>64</v>
      </c>
    </row>
    <row r="110" spans="1:34" s="9" customFormat="1" ht="14.5">
      <c r="A110" s="9" t="s">
        <v>249</v>
      </c>
      <c r="B110" s="9" t="s">
        <v>250</v>
      </c>
      <c r="C110" s="25">
        <v>5</v>
      </c>
      <c r="D110" s="9" t="s">
        <v>38</v>
      </c>
      <c r="E110" s="9" t="s">
        <v>38</v>
      </c>
      <c r="F110" s="9" t="s">
        <v>39</v>
      </c>
      <c r="G110" s="9" t="s">
        <v>40</v>
      </c>
      <c r="H110" s="9" t="s">
        <v>251</v>
      </c>
      <c r="I110" s="9" t="s">
        <v>252</v>
      </c>
      <c r="J110" s="9" t="s">
        <v>42</v>
      </c>
      <c r="K110" s="9" t="s">
        <v>42</v>
      </c>
      <c r="L110" s="9" t="s">
        <v>42</v>
      </c>
      <c r="M110" s="9" t="s">
        <v>42</v>
      </c>
      <c r="N110" s="40" t="s">
        <v>60</v>
      </c>
      <c r="O110" s="9" t="s">
        <v>44</v>
      </c>
      <c r="P110" s="40" t="s">
        <v>259</v>
      </c>
      <c r="Q110" s="9" t="s">
        <v>254</v>
      </c>
      <c r="R110" s="17" t="s">
        <v>255</v>
      </c>
      <c r="S110" s="9" t="s">
        <v>110</v>
      </c>
      <c r="T110" s="9" t="s">
        <v>42</v>
      </c>
      <c r="U110" s="9" t="s">
        <v>42</v>
      </c>
      <c r="V110" s="9" t="s">
        <v>42</v>
      </c>
      <c r="W110" s="11" t="s">
        <v>50</v>
      </c>
      <c r="X110" s="9" t="s">
        <v>260</v>
      </c>
      <c r="Y110" s="11">
        <v>1</v>
      </c>
      <c r="Z110" s="9">
        <v>0</v>
      </c>
      <c r="AA110" s="9">
        <v>0</v>
      </c>
      <c r="AB110" s="9">
        <v>0</v>
      </c>
      <c r="AC110" s="12">
        <v>2001</v>
      </c>
      <c r="AD110" s="10">
        <v>2003</v>
      </c>
      <c r="AE110" s="13">
        <f t="shared" si="2"/>
        <v>2</v>
      </c>
      <c r="AF110" s="9">
        <v>3</v>
      </c>
      <c r="AG110" s="9" t="s">
        <v>64</v>
      </c>
      <c r="AH110" s="10" t="s">
        <v>64</v>
      </c>
    </row>
    <row r="111" spans="1:34" ht="14.5">
      <c r="A111" t="s">
        <v>261</v>
      </c>
      <c r="B111" t="s">
        <v>262</v>
      </c>
      <c r="C111" s="24">
        <v>1</v>
      </c>
      <c r="D111" t="s">
        <v>38</v>
      </c>
      <c r="E111" t="s">
        <v>38</v>
      </c>
      <c r="F111" t="s">
        <v>39</v>
      </c>
      <c r="G111" t="s">
        <v>40</v>
      </c>
      <c r="H111" t="s">
        <v>91</v>
      </c>
      <c r="I111" t="s">
        <v>92</v>
      </c>
      <c r="J111" t="s">
        <v>42</v>
      </c>
      <c r="K111" t="s">
        <v>42</v>
      </c>
      <c r="L111" t="s">
        <v>42</v>
      </c>
      <c r="M111" t="s">
        <v>42</v>
      </c>
      <c r="N111" s="39" t="s">
        <v>79</v>
      </c>
      <c r="O111" t="s">
        <v>86</v>
      </c>
      <c r="P111" s="39" t="s">
        <v>263</v>
      </c>
      <c r="Q111" t="s">
        <v>264</v>
      </c>
      <c r="R111" s="15" t="s">
        <v>42</v>
      </c>
      <c r="S111" t="s">
        <v>189</v>
      </c>
      <c r="T111" t="s">
        <v>265</v>
      </c>
      <c r="U111" t="s">
        <v>42</v>
      </c>
      <c r="V111" t="s">
        <v>42</v>
      </c>
      <c r="W111" s="8" t="s">
        <v>64</v>
      </c>
      <c r="X111" t="s">
        <v>42</v>
      </c>
      <c r="Y111" s="8">
        <v>0</v>
      </c>
      <c r="Z111">
        <v>1</v>
      </c>
      <c r="AA111">
        <v>0</v>
      </c>
      <c r="AB111">
        <v>1</v>
      </c>
      <c r="AC111" s="5">
        <v>2008</v>
      </c>
      <c r="AD111" s="1">
        <v>2009</v>
      </c>
      <c r="AE111" s="6">
        <f t="shared" si="2"/>
        <v>1</v>
      </c>
      <c r="AF111">
        <v>1</v>
      </c>
      <c r="AG111" t="s">
        <v>64</v>
      </c>
      <c r="AH111" s="1" t="s">
        <v>64</v>
      </c>
    </row>
    <row r="112" spans="1:34" ht="14.5">
      <c r="A112" t="s">
        <v>261</v>
      </c>
      <c r="B112" t="s">
        <v>262</v>
      </c>
      <c r="C112" s="24">
        <v>2</v>
      </c>
      <c r="D112" t="s">
        <v>38</v>
      </c>
      <c r="E112" t="s">
        <v>38</v>
      </c>
      <c r="F112" t="s">
        <v>39</v>
      </c>
      <c r="G112" t="s">
        <v>40</v>
      </c>
      <c r="H112" t="s">
        <v>91</v>
      </c>
      <c r="I112" t="s">
        <v>92</v>
      </c>
      <c r="J112" t="s">
        <v>42</v>
      </c>
      <c r="K112" t="s">
        <v>42</v>
      </c>
      <c r="L112" t="s">
        <v>42</v>
      </c>
      <c r="M112" t="s">
        <v>42</v>
      </c>
      <c r="N112" s="39" t="s">
        <v>52</v>
      </c>
      <c r="O112" t="s">
        <v>44</v>
      </c>
      <c r="P112" s="39" t="s">
        <v>52</v>
      </c>
      <c r="Q112" t="s">
        <v>266</v>
      </c>
      <c r="R112" s="15" t="s">
        <v>42</v>
      </c>
      <c r="S112" t="s">
        <v>267</v>
      </c>
      <c r="T112" t="s">
        <v>265</v>
      </c>
      <c r="U112" t="s">
        <v>42</v>
      </c>
      <c r="V112" t="s">
        <v>42</v>
      </c>
      <c r="W112" s="8" t="s">
        <v>50</v>
      </c>
      <c r="X112" t="s">
        <v>268</v>
      </c>
      <c r="Y112" s="8">
        <v>0</v>
      </c>
      <c r="Z112">
        <v>1</v>
      </c>
      <c r="AA112">
        <v>0</v>
      </c>
      <c r="AB112">
        <v>1</v>
      </c>
      <c r="AC112" s="5">
        <v>2008</v>
      </c>
      <c r="AD112" s="1">
        <v>2009</v>
      </c>
      <c r="AE112" s="6">
        <f t="shared" si="2"/>
        <v>1</v>
      </c>
      <c r="AF112">
        <v>1</v>
      </c>
      <c r="AG112" t="s">
        <v>64</v>
      </c>
      <c r="AH112" s="1" t="s">
        <v>64</v>
      </c>
    </row>
    <row r="113" spans="1:34" ht="14.5">
      <c r="A113" t="s">
        <v>261</v>
      </c>
      <c r="B113" t="s">
        <v>262</v>
      </c>
      <c r="C113" s="24">
        <v>3</v>
      </c>
      <c r="D113" t="s">
        <v>38</v>
      </c>
      <c r="E113" t="s">
        <v>38</v>
      </c>
      <c r="F113" t="s">
        <v>39</v>
      </c>
      <c r="G113" t="s">
        <v>40</v>
      </c>
      <c r="H113" t="s">
        <v>91</v>
      </c>
      <c r="I113" t="s">
        <v>92</v>
      </c>
      <c r="J113" t="s">
        <v>42</v>
      </c>
      <c r="K113" t="s">
        <v>42</v>
      </c>
      <c r="L113" t="s">
        <v>42</v>
      </c>
      <c r="M113" t="s">
        <v>42</v>
      </c>
      <c r="N113" s="39" t="s">
        <v>269</v>
      </c>
      <c r="O113" t="s">
        <v>44</v>
      </c>
      <c r="P113" s="39" t="s">
        <v>269</v>
      </c>
      <c r="Q113" t="s">
        <v>266</v>
      </c>
      <c r="R113" s="15" t="s">
        <v>42</v>
      </c>
      <c r="S113" t="s">
        <v>270</v>
      </c>
      <c r="T113" t="s">
        <v>265</v>
      </c>
      <c r="U113" t="s">
        <v>42</v>
      </c>
      <c r="V113" t="s">
        <v>42</v>
      </c>
      <c r="W113" s="8" t="s">
        <v>50</v>
      </c>
      <c r="X113" t="s">
        <v>268</v>
      </c>
      <c r="Y113" s="8">
        <v>0</v>
      </c>
      <c r="Z113">
        <v>1</v>
      </c>
      <c r="AA113">
        <v>0</v>
      </c>
      <c r="AB113">
        <v>1</v>
      </c>
      <c r="AC113" s="5">
        <v>2008</v>
      </c>
      <c r="AD113" s="1">
        <v>2009</v>
      </c>
      <c r="AE113" s="6">
        <f t="shared" si="2"/>
        <v>1</v>
      </c>
      <c r="AF113">
        <v>1</v>
      </c>
      <c r="AG113" t="s">
        <v>64</v>
      </c>
      <c r="AH113" s="1" t="s">
        <v>64</v>
      </c>
    </row>
    <row r="114" spans="1:34" ht="14.5">
      <c r="A114" t="s">
        <v>261</v>
      </c>
      <c r="B114" t="s">
        <v>262</v>
      </c>
      <c r="C114" s="24">
        <v>4</v>
      </c>
      <c r="D114" t="s">
        <v>38</v>
      </c>
      <c r="E114" t="s">
        <v>38</v>
      </c>
      <c r="F114" t="s">
        <v>39</v>
      </c>
      <c r="G114" t="s">
        <v>40</v>
      </c>
      <c r="H114" t="s">
        <v>91</v>
      </c>
      <c r="I114" t="s">
        <v>92</v>
      </c>
      <c r="J114" t="s">
        <v>42</v>
      </c>
      <c r="K114" t="s">
        <v>42</v>
      </c>
      <c r="L114" t="s">
        <v>42</v>
      </c>
      <c r="M114" t="s">
        <v>42</v>
      </c>
      <c r="N114" s="39" t="s">
        <v>79</v>
      </c>
      <c r="O114" t="s">
        <v>44</v>
      </c>
      <c r="P114" s="39" t="s">
        <v>201</v>
      </c>
      <c r="Q114" t="s">
        <v>266</v>
      </c>
      <c r="R114" s="15" t="s">
        <v>42</v>
      </c>
      <c r="S114" t="s">
        <v>271</v>
      </c>
      <c r="T114" t="s">
        <v>265</v>
      </c>
      <c r="U114" t="s">
        <v>42</v>
      </c>
      <c r="V114" t="s">
        <v>42</v>
      </c>
      <c r="W114" s="8" t="s">
        <v>50</v>
      </c>
      <c r="X114" t="s">
        <v>268</v>
      </c>
      <c r="Y114" s="8">
        <v>0</v>
      </c>
      <c r="Z114">
        <v>1</v>
      </c>
      <c r="AA114">
        <v>0</v>
      </c>
      <c r="AB114">
        <v>1</v>
      </c>
      <c r="AC114" s="5">
        <v>2008</v>
      </c>
      <c r="AD114" s="1">
        <v>2009</v>
      </c>
      <c r="AE114" s="6">
        <f t="shared" si="2"/>
        <v>1</v>
      </c>
      <c r="AF114">
        <v>1</v>
      </c>
      <c r="AG114" t="s">
        <v>64</v>
      </c>
      <c r="AH114" s="1" t="s">
        <v>64</v>
      </c>
    </row>
    <row r="115" spans="1:34" ht="14.5">
      <c r="A115" t="s">
        <v>261</v>
      </c>
      <c r="B115" t="s">
        <v>262</v>
      </c>
      <c r="C115" s="24">
        <v>5</v>
      </c>
      <c r="D115" t="s">
        <v>38</v>
      </c>
      <c r="E115" t="s">
        <v>38</v>
      </c>
      <c r="F115" t="s">
        <v>39</v>
      </c>
      <c r="G115" t="s">
        <v>40</v>
      </c>
      <c r="H115" t="s">
        <v>91</v>
      </c>
      <c r="I115" t="s">
        <v>92</v>
      </c>
      <c r="J115" t="s">
        <v>42</v>
      </c>
      <c r="K115" t="s">
        <v>42</v>
      </c>
      <c r="L115" t="s">
        <v>42</v>
      </c>
      <c r="M115" t="s">
        <v>42</v>
      </c>
      <c r="N115" s="39" t="s">
        <v>52</v>
      </c>
      <c r="O115" t="s">
        <v>44</v>
      </c>
      <c r="P115" s="39" t="s">
        <v>52</v>
      </c>
      <c r="Q115" t="s">
        <v>190</v>
      </c>
      <c r="R115" s="15" t="s">
        <v>42</v>
      </c>
      <c r="S115" t="s">
        <v>272</v>
      </c>
      <c r="T115" t="s">
        <v>265</v>
      </c>
      <c r="U115" t="s">
        <v>42</v>
      </c>
      <c r="V115" t="s">
        <v>42</v>
      </c>
      <c r="W115" s="8" t="s">
        <v>50</v>
      </c>
      <c r="X115" t="s">
        <v>268</v>
      </c>
      <c r="Y115" s="8">
        <v>0</v>
      </c>
      <c r="Z115">
        <v>1</v>
      </c>
      <c r="AA115">
        <v>0</v>
      </c>
      <c r="AB115">
        <v>1</v>
      </c>
      <c r="AC115" s="5">
        <v>2008</v>
      </c>
      <c r="AD115" s="1">
        <v>2009</v>
      </c>
      <c r="AE115" s="6">
        <f t="shared" si="2"/>
        <v>1</v>
      </c>
      <c r="AF115">
        <v>1</v>
      </c>
      <c r="AG115" t="s">
        <v>64</v>
      </c>
      <c r="AH115" s="1" t="s">
        <v>64</v>
      </c>
    </row>
    <row r="116" spans="1:34" ht="14.5">
      <c r="A116" t="s">
        <v>261</v>
      </c>
      <c r="B116" t="s">
        <v>262</v>
      </c>
      <c r="C116" s="24">
        <v>6</v>
      </c>
      <c r="D116" t="s">
        <v>38</v>
      </c>
      <c r="E116" t="s">
        <v>38</v>
      </c>
      <c r="F116" t="s">
        <v>39</v>
      </c>
      <c r="G116" t="s">
        <v>40</v>
      </c>
      <c r="H116" t="s">
        <v>91</v>
      </c>
      <c r="I116" t="s">
        <v>92</v>
      </c>
      <c r="J116" t="s">
        <v>42</v>
      </c>
      <c r="K116" t="s">
        <v>42</v>
      </c>
      <c r="L116" t="s">
        <v>42</v>
      </c>
      <c r="M116" t="s">
        <v>42</v>
      </c>
      <c r="N116" s="39" t="s">
        <v>269</v>
      </c>
      <c r="O116" t="s">
        <v>44</v>
      </c>
      <c r="P116" s="39" t="s">
        <v>269</v>
      </c>
      <c r="Q116" t="s">
        <v>190</v>
      </c>
      <c r="R116" s="15" t="s">
        <v>42</v>
      </c>
      <c r="S116" t="s">
        <v>270</v>
      </c>
      <c r="T116" t="s">
        <v>265</v>
      </c>
      <c r="U116" t="s">
        <v>42</v>
      </c>
      <c r="V116" t="s">
        <v>42</v>
      </c>
      <c r="W116" s="8" t="s">
        <v>50</v>
      </c>
      <c r="X116" t="s">
        <v>268</v>
      </c>
      <c r="Y116" s="8">
        <v>0</v>
      </c>
      <c r="Z116">
        <v>1</v>
      </c>
      <c r="AA116">
        <v>0</v>
      </c>
      <c r="AB116">
        <v>1</v>
      </c>
      <c r="AC116" s="5">
        <v>2008</v>
      </c>
      <c r="AD116" s="1">
        <v>2009</v>
      </c>
      <c r="AE116" s="6">
        <f t="shared" si="2"/>
        <v>1</v>
      </c>
      <c r="AF116">
        <v>1</v>
      </c>
      <c r="AG116" t="s">
        <v>64</v>
      </c>
      <c r="AH116" s="1" t="s">
        <v>64</v>
      </c>
    </row>
    <row r="117" spans="1:34" ht="14.5">
      <c r="A117" t="s">
        <v>261</v>
      </c>
      <c r="B117" t="s">
        <v>262</v>
      </c>
      <c r="C117" s="24">
        <v>7</v>
      </c>
      <c r="D117" t="s">
        <v>38</v>
      </c>
      <c r="E117" t="s">
        <v>38</v>
      </c>
      <c r="F117" t="s">
        <v>39</v>
      </c>
      <c r="G117" t="s">
        <v>40</v>
      </c>
      <c r="H117" t="s">
        <v>91</v>
      </c>
      <c r="I117" t="s">
        <v>92</v>
      </c>
      <c r="J117" t="s">
        <v>42</v>
      </c>
      <c r="K117" t="s">
        <v>42</v>
      </c>
      <c r="L117" t="s">
        <v>42</v>
      </c>
      <c r="M117" t="s">
        <v>42</v>
      </c>
      <c r="N117" s="39" t="s">
        <v>79</v>
      </c>
      <c r="O117" t="s">
        <v>44</v>
      </c>
      <c r="P117" s="39" t="s">
        <v>201</v>
      </c>
      <c r="Q117" t="s">
        <v>190</v>
      </c>
      <c r="R117" s="15" t="s">
        <v>42</v>
      </c>
      <c r="S117" t="s">
        <v>271</v>
      </c>
      <c r="T117" t="s">
        <v>265</v>
      </c>
      <c r="U117" t="s">
        <v>42</v>
      </c>
      <c r="V117" t="s">
        <v>42</v>
      </c>
      <c r="W117" s="8" t="s">
        <v>50</v>
      </c>
      <c r="X117" t="s">
        <v>268</v>
      </c>
      <c r="Y117" s="8">
        <v>0</v>
      </c>
      <c r="Z117">
        <v>1</v>
      </c>
      <c r="AA117">
        <v>0</v>
      </c>
      <c r="AB117">
        <v>1</v>
      </c>
      <c r="AC117" s="5">
        <v>2008</v>
      </c>
      <c r="AD117" s="1">
        <v>2009</v>
      </c>
      <c r="AE117" s="6">
        <f t="shared" si="2"/>
        <v>1</v>
      </c>
      <c r="AF117">
        <v>1</v>
      </c>
      <c r="AG117" t="s">
        <v>64</v>
      </c>
      <c r="AH117" s="1" t="s">
        <v>64</v>
      </c>
    </row>
    <row r="118" spans="1:34" s="9" customFormat="1" ht="14.5">
      <c r="A118" s="9" t="s">
        <v>261</v>
      </c>
      <c r="B118" s="9" t="s">
        <v>262</v>
      </c>
      <c r="C118" s="25">
        <v>8</v>
      </c>
      <c r="D118" s="9" t="s">
        <v>38</v>
      </c>
      <c r="E118" s="9" t="s">
        <v>38</v>
      </c>
      <c r="F118" s="9" t="s">
        <v>39</v>
      </c>
      <c r="G118" s="9" t="s">
        <v>184</v>
      </c>
      <c r="H118" s="9" t="s">
        <v>91</v>
      </c>
      <c r="I118" s="9" t="s">
        <v>92</v>
      </c>
      <c r="J118" s="9" t="s">
        <v>42</v>
      </c>
      <c r="K118" s="9" t="s">
        <v>42</v>
      </c>
      <c r="L118" s="9" t="s">
        <v>42</v>
      </c>
      <c r="M118" s="9" t="s">
        <v>42</v>
      </c>
      <c r="N118" s="39" t="s">
        <v>186</v>
      </c>
      <c r="O118" s="9" t="s">
        <v>187</v>
      </c>
      <c r="P118" s="40" t="s">
        <v>186</v>
      </c>
      <c r="Q118" s="9" t="s">
        <v>42</v>
      </c>
      <c r="R118" s="9" t="s">
        <v>42</v>
      </c>
      <c r="S118" s="9" t="s">
        <v>42</v>
      </c>
      <c r="T118" s="9" t="s">
        <v>265</v>
      </c>
      <c r="U118" s="9" t="s">
        <v>42</v>
      </c>
      <c r="V118" s="9" t="s">
        <v>42</v>
      </c>
      <c r="W118" s="11" t="s">
        <v>64</v>
      </c>
      <c r="X118" s="9" t="s">
        <v>42</v>
      </c>
      <c r="Y118" s="11">
        <v>0</v>
      </c>
      <c r="Z118" s="9">
        <v>1</v>
      </c>
      <c r="AA118" s="9">
        <v>0</v>
      </c>
      <c r="AB118" s="9">
        <v>1</v>
      </c>
      <c r="AC118" s="12">
        <v>2008</v>
      </c>
      <c r="AD118" s="10">
        <v>2009</v>
      </c>
      <c r="AE118" s="13">
        <f t="shared" si="2"/>
        <v>1</v>
      </c>
      <c r="AF118" s="9">
        <v>1</v>
      </c>
      <c r="AG118" s="9" t="s">
        <v>64</v>
      </c>
      <c r="AH118" s="10" t="s">
        <v>64</v>
      </c>
    </row>
    <row r="119" spans="1:34" ht="14.5">
      <c r="A119" t="s">
        <v>273</v>
      </c>
      <c r="B119" t="s">
        <v>274</v>
      </c>
      <c r="C119" s="24">
        <v>1</v>
      </c>
      <c r="D119" t="s">
        <v>38</v>
      </c>
      <c r="E119" t="s">
        <v>38</v>
      </c>
      <c r="F119" t="s">
        <v>39</v>
      </c>
      <c r="G119" t="s">
        <v>40</v>
      </c>
      <c r="H119" t="s">
        <v>41</v>
      </c>
      <c r="I119" t="s">
        <v>42</v>
      </c>
      <c r="J119" t="s">
        <v>42</v>
      </c>
      <c r="K119" t="s">
        <v>42</v>
      </c>
      <c r="L119" t="s">
        <v>42</v>
      </c>
      <c r="M119" t="s">
        <v>42</v>
      </c>
      <c r="N119" s="39" t="s">
        <v>52</v>
      </c>
      <c r="O119" t="s">
        <v>86</v>
      </c>
      <c r="P119" s="39" t="s">
        <v>52</v>
      </c>
      <c r="Q119" t="s">
        <v>275</v>
      </c>
      <c r="R119" t="s">
        <v>276</v>
      </c>
      <c r="S119" t="s">
        <v>69</v>
      </c>
      <c r="T119" t="s">
        <v>42</v>
      </c>
      <c r="U119" t="s">
        <v>42</v>
      </c>
      <c r="V119" t="s">
        <v>42</v>
      </c>
      <c r="W119" s="8" t="s">
        <v>64</v>
      </c>
      <c r="X119" t="s">
        <v>42</v>
      </c>
      <c r="Y119" s="8">
        <v>1</v>
      </c>
      <c r="Z119">
        <v>0</v>
      </c>
      <c r="AA119">
        <v>0</v>
      </c>
      <c r="AB119">
        <v>0</v>
      </c>
      <c r="AC119" s="5">
        <v>1999</v>
      </c>
      <c r="AD119" s="1">
        <v>2013</v>
      </c>
      <c r="AE119" s="6">
        <f t="shared" si="2"/>
        <v>14</v>
      </c>
      <c r="AF119">
        <v>4</v>
      </c>
      <c r="AG119" t="s">
        <v>64</v>
      </c>
      <c r="AH119" t="s">
        <v>64</v>
      </c>
    </row>
    <row r="120" spans="1:34" ht="14.5">
      <c r="A120" t="s">
        <v>273</v>
      </c>
      <c r="B120" t="s">
        <v>274</v>
      </c>
      <c r="C120" s="24">
        <v>2</v>
      </c>
      <c r="D120" t="s">
        <v>38</v>
      </c>
      <c r="E120" t="s">
        <v>38</v>
      </c>
      <c r="F120" t="s">
        <v>39</v>
      </c>
      <c r="G120" t="s">
        <v>40</v>
      </c>
      <c r="H120" t="s">
        <v>41</v>
      </c>
      <c r="I120" t="s">
        <v>42</v>
      </c>
      <c r="J120" t="s">
        <v>42</v>
      </c>
      <c r="K120" t="s">
        <v>42</v>
      </c>
      <c r="L120" t="s">
        <v>42</v>
      </c>
      <c r="M120" t="s">
        <v>42</v>
      </c>
      <c r="N120" s="39" t="s">
        <v>43</v>
      </c>
      <c r="O120" t="s">
        <v>86</v>
      </c>
      <c r="P120" s="39" t="s">
        <v>43</v>
      </c>
      <c r="Q120" t="s">
        <v>275</v>
      </c>
      <c r="R120" t="s">
        <v>276</v>
      </c>
      <c r="S120" t="s">
        <v>136</v>
      </c>
      <c r="T120" t="s">
        <v>42</v>
      </c>
      <c r="U120" t="s">
        <v>42</v>
      </c>
      <c r="V120" t="s">
        <v>42</v>
      </c>
      <c r="W120" s="8" t="s">
        <v>64</v>
      </c>
      <c r="X120" t="s">
        <v>42</v>
      </c>
      <c r="Y120" s="8">
        <v>1</v>
      </c>
      <c r="Z120">
        <v>0</v>
      </c>
      <c r="AA120">
        <v>0</v>
      </c>
      <c r="AB120">
        <v>0</v>
      </c>
      <c r="AC120" s="5">
        <v>1999</v>
      </c>
      <c r="AD120" s="1">
        <v>2013</v>
      </c>
      <c r="AE120" s="6">
        <f t="shared" si="2"/>
        <v>14</v>
      </c>
      <c r="AF120">
        <v>4</v>
      </c>
      <c r="AG120" t="s">
        <v>64</v>
      </c>
      <c r="AH120" t="s">
        <v>64</v>
      </c>
    </row>
    <row r="121" spans="1:34" ht="14.5">
      <c r="A121" t="s">
        <v>273</v>
      </c>
      <c r="B121" t="s">
        <v>274</v>
      </c>
      <c r="C121" s="24">
        <v>3</v>
      </c>
      <c r="D121" t="s">
        <v>38</v>
      </c>
      <c r="E121" t="s">
        <v>38</v>
      </c>
      <c r="F121" t="s">
        <v>39</v>
      </c>
      <c r="G121" t="s">
        <v>40</v>
      </c>
      <c r="H121" t="s">
        <v>41</v>
      </c>
      <c r="I121" t="s">
        <v>42</v>
      </c>
      <c r="J121" t="s">
        <v>42</v>
      </c>
      <c r="K121" t="s">
        <v>42</v>
      </c>
      <c r="L121" t="s">
        <v>42</v>
      </c>
      <c r="M121" t="s">
        <v>42</v>
      </c>
      <c r="N121" s="39" t="s">
        <v>52</v>
      </c>
      <c r="O121" t="s">
        <v>86</v>
      </c>
      <c r="P121" s="39" t="s">
        <v>52</v>
      </c>
      <c r="Q121" t="s">
        <v>277</v>
      </c>
      <c r="R121" t="s">
        <v>278</v>
      </c>
      <c r="S121" t="s">
        <v>69</v>
      </c>
      <c r="T121" t="s">
        <v>42</v>
      </c>
      <c r="U121" t="s">
        <v>42</v>
      </c>
      <c r="V121" t="s">
        <v>42</v>
      </c>
      <c r="W121" s="8" t="s">
        <v>64</v>
      </c>
      <c r="X121" t="s">
        <v>42</v>
      </c>
      <c r="Y121" s="8">
        <v>1</v>
      </c>
      <c r="Z121">
        <v>0</v>
      </c>
      <c r="AA121">
        <v>0</v>
      </c>
      <c r="AB121">
        <v>0</v>
      </c>
      <c r="AC121" s="5">
        <v>1999</v>
      </c>
      <c r="AD121" s="1">
        <v>2009</v>
      </c>
      <c r="AE121" s="6">
        <f t="shared" si="2"/>
        <v>10</v>
      </c>
      <c r="AF121">
        <v>3</v>
      </c>
      <c r="AG121" t="s">
        <v>64</v>
      </c>
      <c r="AH121" t="s">
        <v>64</v>
      </c>
    </row>
    <row r="122" spans="1:34" ht="14.5">
      <c r="A122" t="s">
        <v>273</v>
      </c>
      <c r="B122" t="s">
        <v>274</v>
      </c>
      <c r="C122" s="24">
        <v>4</v>
      </c>
      <c r="D122" t="s">
        <v>38</v>
      </c>
      <c r="E122" t="s">
        <v>38</v>
      </c>
      <c r="F122" t="s">
        <v>39</v>
      </c>
      <c r="G122" t="s">
        <v>40</v>
      </c>
      <c r="H122" t="s">
        <v>41</v>
      </c>
      <c r="I122" t="s">
        <v>42</v>
      </c>
      <c r="J122" t="s">
        <v>42</v>
      </c>
      <c r="K122" t="s">
        <v>42</v>
      </c>
      <c r="L122" t="s">
        <v>42</v>
      </c>
      <c r="M122" t="s">
        <v>42</v>
      </c>
      <c r="N122" s="39" t="s">
        <v>43</v>
      </c>
      <c r="O122" t="s">
        <v>86</v>
      </c>
      <c r="P122" s="39" t="s">
        <v>43</v>
      </c>
      <c r="Q122" t="s">
        <v>277</v>
      </c>
      <c r="R122" t="s">
        <v>278</v>
      </c>
      <c r="S122" t="s">
        <v>136</v>
      </c>
      <c r="T122" t="s">
        <v>42</v>
      </c>
      <c r="U122" t="s">
        <v>42</v>
      </c>
      <c r="V122" t="s">
        <v>42</v>
      </c>
      <c r="W122" s="8" t="s">
        <v>64</v>
      </c>
      <c r="X122" t="s">
        <v>42</v>
      </c>
      <c r="Y122" s="8">
        <v>1</v>
      </c>
      <c r="Z122">
        <v>0</v>
      </c>
      <c r="AA122">
        <v>0</v>
      </c>
      <c r="AB122">
        <v>0</v>
      </c>
      <c r="AC122" s="5">
        <v>1999</v>
      </c>
      <c r="AD122" s="1">
        <v>2009</v>
      </c>
      <c r="AE122" s="6">
        <f t="shared" si="2"/>
        <v>10</v>
      </c>
      <c r="AF122">
        <v>3</v>
      </c>
      <c r="AG122" t="s">
        <v>64</v>
      </c>
      <c r="AH122" t="s">
        <v>64</v>
      </c>
    </row>
    <row r="123" spans="1:34" ht="14.5">
      <c r="A123" t="s">
        <v>273</v>
      </c>
      <c r="B123" t="s">
        <v>274</v>
      </c>
      <c r="C123" s="24">
        <v>5</v>
      </c>
      <c r="D123" t="s">
        <v>38</v>
      </c>
      <c r="E123" t="s">
        <v>38</v>
      </c>
      <c r="F123" t="s">
        <v>39</v>
      </c>
      <c r="G123" t="s">
        <v>40</v>
      </c>
      <c r="H123" t="s">
        <v>41</v>
      </c>
      <c r="I123" t="s">
        <v>42</v>
      </c>
      <c r="J123" t="s">
        <v>42</v>
      </c>
      <c r="K123" t="s">
        <v>42</v>
      </c>
      <c r="L123" t="s">
        <v>42</v>
      </c>
      <c r="M123" t="s">
        <v>42</v>
      </c>
      <c r="N123" s="39" t="s">
        <v>52</v>
      </c>
      <c r="O123" t="s">
        <v>86</v>
      </c>
      <c r="P123" s="39" t="s">
        <v>52</v>
      </c>
      <c r="Q123" t="s">
        <v>279</v>
      </c>
      <c r="R123" t="s">
        <v>280</v>
      </c>
      <c r="S123" t="s">
        <v>69</v>
      </c>
      <c r="T123" t="s">
        <v>42</v>
      </c>
      <c r="U123" t="s">
        <v>42</v>
      </c>
      <c r="V123" t="s">
        <v>42</v>
      </c>
      <c r="W123" s="8" t="s">
        <v>64</v>
      </c>
      <c r="X123" t="s">
        <v>42</v>
      </c>
      <c r="Y123" s="8">
        <v>1</v>
      </c>
      <c r="Z123">
        <v>0</v>
      </c>
      <c r="AA123">
        <v>0</v>
      </c>
      <c r="AB123">
        <v>0</v>
      </c>
      <c r="AC123" s="5">
        <v>1999</v>
      </c>
      <c r="AD123" s="1">
        <v>1999</v>
      </c>
      <c r="AE123" s="6" t="s">
        <v>72</v>
      </c>
      <c r="AF123">
        <v>1</v>
      </c>
      <c r="AG123" t="s">
        <v>64</v>
      </c>
      <c r="AH123" t="s">
        <v>64</v>
      </c>
    </row>
    <row r="124" spans="1:34" ht="14.5">
      <c r="A124" t="s">
        <v>273</v>
      </c>
      <c r="B124" t="s">
        <v>274</v>
      </c>
      <c r="C124" s="24">
        <v>6</v>
      </c>
      <c r="D124" t="s">
        <v>38</v>
      </c>
      <c r="E124" t="s">
        <v>38</v>
      </c>
      <c r="F124" t="s">
        <v>39</v>
      </c>
      <c r="G124" t="s">
        <v>40</v>
      </c>
      <c r="H124" t="s">
        <v>41</v>
      </c>
      <c r="I124" t="s">
        <v>42</v>
      </c>
      <c r="J124" t="s">
        <v>42</v>
      </c>
      <c r="K124" t="s">
        <v>42</v>
      </c>
      <c r="L124" t="s">
        <v>42</v>
      </c>
      <c r="M124" t="s">
        <v>42</v>
      </c>
      <c r="N124" s="39" t="s">
        <v>43</v>
      </c>
      <c r="O124" t="s">
        <v>86</v>
      </c>
      <c r="P124" s="39" t="s">
        <v>43</v>
      </c>
      <c r="Q124" t="s">
        <v>279</v>
      </c>
      <c r="R124" t="s">
        <v>280</v>
      </c>
      <c r="S124" t="s">
        <v>136</v>
      </c>
      <c r="T124" t="s">
        <v>42</v>
      </c>
      <c r="U124" t="s">
        <v>42</v>
      </c>
      <c r="V124" t="s">
        <v>42</v>
      </c>
      <c r="W124" s="8" t="s">
        <v>64</v>
      </c>
      <c r="X124" t="s">
        <v>42</v>
      </c>
      <c r="Y124" s="8">
        <v>1</v>
      </c>
      <c r="Z124">
        <v>0</v>
      </c>
      <c r="AA124">
        <v>0</v>
      </c>
      <c r="AB124">
        <v>0</v>
      </c>
      <c r="AC124" s="5">
        <v>1999</v>
      </c>
      <c r="AD124" s="1">
        <v>1999</v>
      </c>
      <c r="AE124" s="6" t="s">
        <v>72</v>
      </c>
      <c r="AF124">
        <v>1</v>
      </c>
      <c r="AG124" t="s">
        <v>64</v>
      </c>
      <c r="AH124" t="s">
        <v>64</v>
      </c>
    </row>
    <row r="125" spans="1:34" ht="14.5">
      <c r="A125" t="s">
        <v>273</v>
      </c>
      <c r="B125" t="s">
        <v>274</v>
      </c>
      <c r="C125" s="24">
        <v>7</v>
      </c>
      <c r="D125" t="s">
        <v>38</v>
      </c>
      <c r="E125" t="s">
        <v>38</v>
      </c>
      <c r="F125" t="s">
        <v>39</v>
      </c>
      <c r="G125" t="s">
        <v>40</v>
      </c>
      <c r="H125" t="s">
        <v>91</v>
      </c>
      <c r="I125" t="s">
        <v>92</v>
      </c>
      <c r="J125" t="s">
        <v>42</v>
      </c>
      <c r="K125" t="s">
        <v>42</v>
      </c>
      <c r="L125" t="s">
        <v>42</v>
      </c>
      <c r="M125" t="s">
        <v>42</v>
      </c>
      <c r="N125" s="39" t="s">
        <v>52</v>
      </c>
      <c r="O125" t="s">
        <v>86</v>
      </c>
      <c r="P125" s="39" t="s">
        <v>52</v>
      </c>
      <c r="Q125" t="s">
        <v>281</v>
      </c>
      <c r="R125" t="s">
        <v>282</v>
      </c>
      <c r="S125" t="s">
        <v>69</v>
      </c>
      <c r="T125" t="s">
        <v>131</v>
      </c>
      <c r="U125" t="s">
        <v>42</v>
      </c>
      <c r="V125" t="s">
        <v>42</v>
      </c>
      <c r="W125" s="8" t="s">
        <v>64</v>
      </c>
      <c r="X125" t="s">
        <v>42</v>
      </c>
      <c r="Y125" s="8">
        <v>1</v>
      </c>
      <c r="Z125">
        <v>0</v>
      </c>
      <c r="AA125">
        <v>0</v>
      </c>
      <c r="AB125">
        <v>0</v>
      </c>
      <c r="AC125" s="5">
        <v>2005</v>
      </c>
      <c r="AD125" s="1">
        <v>2009</v>
      </c>
      <c r="AE125" s="6">
        <f>AD125-AC125</f>
        <v>4</v>
      </c>
      <c r="AF125">
        <v>6</v>
      </c>
      <c r="AG125" t="s">
        <v>64</v>
      </c>
      <c r="AH125" t="s">
        <v>64</v>
      </c>
    </row>
    <row r="126" spans="1:34" ht="14.5">
      <c r="A126" t="s">
        <v>273</v>
      </c>
      <c r="B126" t="s">
        <v>274</v>
      </c>
      <c r="C126" s="24">
        <v>8</v>
      </c>
      <c r="D126" t="s">
        <v>38</v>
      </c>
      <c r="E126" t="s">
        <v>38</v>
      </c>
      <c r="F126" t="s">
        <v>39</v>
      </c>
      <c r="G126" t="s">
        <v>40</v>
      </c>
      <c r="H126" t="s">
        <v>91</v>
      </c>
      <c r="I126" t="s">
        <v>92</v>
      </c>
      <c r="J126" t="s">
        <v>42</v>
      </c>
      <c r="K126" t="s">
        <v>42</v>
      </c>
      <c r="L126" t="s">
        <v>42</v>
      </c>
      <c r="M126" t="s">
        <v>42</v>
      </c>
      <c r="N126" s="39" t="s">
        <v>43</v>
      </c>
      <c r="O126" t="s">
        <v>86</v>
      </c>
      <c r="P126" s="39" t="s">
        <v>43</v>
      </c>
      <c r="Q126" t="s">
        <v>281</v>
      </c>
      <c r="R126" t="s">
        <v>282</v>
      </c>
      <c r="S126" t="s">
        <v>136</v>
      </c>
      <c r="T126" t="s">
        <v>131</v>
      </c>
      <c r="U126" t="s">
        <v>42</v>
      </c>
      <c r="V126" t="s">
        <v>42</v>
      </c>
      <c r="W126" s="8" t="s">
        <v>64</v>
      </c>
      <c r="X126" t="s">
        <v>42</v>
      </c>
      <c r="Y126" s="8">
        <v>1</v>
      </c>
      <c r="Z126">
        <v>0</v>
      </c>
      <c r="AA126">
        <v>0</v>
      </c>
      <c r="AB126">
        <v>0</v>
      </c>
      <c r="AC126" s="5">
        <v>2005</v>
      </c>
      <c r="AD126" s="1">
        <v>2009</v>
      </c>
      <c r="AE126" s="6">
        <f>AD126-AC126</f>
        <v>4</v>
      </c>
      <c r="AF126">
        <v>6</v>
      </c>
      <c r="AG126" t="s">
        <v>64</v>
      </c>
      <c r="AH126" t="s">
        <v>64</v>
      </c>
    </row>
    <row r="127" spans="1:34" ht="14.5">
      <c r="A127" t="s">
        <v>273</v>
      </c>
      <c r="B127" t="s">
        <v>274</v>
      </c>
      <c r="C127" s="24">
        <v>9</v>
      </c>
      <c r="D127" t="s">
        <v>38</v>
      </c>
      <c r="E127" t="s">
        <v>38</v>
      </c>
      <c r="F127" t="s">
        <v>39</v>
      </c>
      <c r="G127" t="s">
        <v>40</v>
      </c>
      <c r="H127" t="s">
        <v>91</v>
      </c>
      <c r="I127" t="s">
        <v>92</v>
      </c>
      <c r="J127" t="s">
        <v>42</v>
      </c>
      <c r="K127" t="s">
        <v>42</v>
      </c>
      <c r="L127" t="s">
        <v>42</v>
      </c>
      <c r="M127" t="s">
        <v>42</v>
      </c>
      <c r="N127" s="39" t="s">
        <v>52</v>
      </c>
      <c r="O127" t="s">
        <v>86</v>
      </c>
      <c r="P127" s="39" t="s">
        <v>52</v>
      </c>
      <c r="Q127" t="s">
        <v>281</v>
      </c>
      <c r="R127" t="s">
        <v>283</v>
      </c>
      <c r="S127" t="s">
        <v>69</v>
      </c>
      <c r="T127" t="s">
        <v>131</v>
      </c>
      <c r="U127" t="s">
        <v>42</v>
      </c>
      <c r="V127" t="s">
        <v>42</v>
      </c>
      <c r="W127" s="8" t="s">
        <v>64</v>
      </c>
      <c r="X127" t="s">
        <v>42</v>
      </c>
      <c r="Y127" s="8">
        <v>1</v>
      </c>
      <c r="Z127">
        <v>0</v>
      </c>
      <c r="AA127">
        <v>0</v>
      </c>
      <c r="AB127">
        <v>0</v>
      </c>
      <c r="AC127" s="5">
        <v>2005</v>
      </c>
      <c r="AD127" s="1">
        <v>2009</v>
      </c>
      <c r="AE127" s="6">
        <f>AD127-AC127</f>
        <v>4</v>
      </c>
      <c r="AF127">
        <v>6</v>
      </c>
      <c r="AG127" t="s">
        <v>64</v>
      </c>
      <c r="AH127" t="s">
        <v>64</v>
      </c>
    </row>
    <row r="128" spans="1:34" s="9" customFormat="1" ht="14.5">
      <c r="A128" s="9" t="s">
        <v>273</v>
      </c>
      <c r="B128" s="9" t="s">
        <v>274</v>
      </c>
      <c r="C128" s="25">
        <v>10</v>
      </c>
      <c r="D128" s="9" t="s">
        <v>38</v>
      </c>
      <c r="E128" s="9" t="s">
        <v>38</v>
      </c>
      <c r="F128" s="9" t="s">
        <v>39</v>
      </c>
      <c r="G128" s="9" t="s">
        <v>40</v>
      </c>
      <c r="H128" s="9" t="s">
        <v>91</v>
      </c>
      <c r="I128" s="9" t="s">
        <v>92</v>
      </c>
      <c r="J128" s="9" t="s">
        <v>42</v>
      </c>
      <c r="K128" s="9" t="s">
        <v>42</v>
      </c>
      <c r="L128" s="9" t="s">
        <v>42</v>
      </c>
      <c r="M128" s="9" t="s">
        <v>42</v>
      </c>
      <c r="N128" s="40" t="s">
        <v>43</v>
      </c>
      <c r="O128" s="9" t="s">
        <v>86</v>
      </c>
      <c r="P128" s="40" t="s">
        <v>43</v>
      </c>
      <c r="Q128" s="9" t="s">
        <v>281</v>
      </c>
      <c r="R128" s="9" t="s">
        <v>283</v>
      </c>
      <c r="S128" s="9" t="s">
        <v>136</v>
      </c>
      <c r="T128" s="9" t="s">
        <v>131</v>
      </c>
      <c r="U128" s="9" t="s">
        <v>42</v>
      </c>
      <c r="V128" s="9" t="s">
        <v>42</v>
      </c>
      <c r="W128" s="11" t="s">
        <v>64</v>
      </c>
      <c r="X128" s="9" t="s">
        <v>42</v>
      </c>
      <c r="Y128" s="11">
        <v>1</v>
      </c>
      <c r="Z128" s="9">
        <v>0</v>
      </c>
      <c r="AA128" s="9">
        <v>0</v>
      </c>
      <c r="AB128" s="9">
        <v>0</v>
      </c>
      <c r="AC128" s="12">
        <v>2005</v>
      </c>
      <c r="AD128" s="10">
        <v>2009</v>
      </c>
      <c r="AE128" s="13">
        <f>AD128-AC128</f>
        <v>4</v>
      </c>
      <c r="AF128" s="9">
        <v>6</v>
      </c>
      <c r="AG128" s="9" t="s">
        <v>64</v>
      </c>
      <c r="AH128" s="9" t="s">
        <v>64</v>
      </c>
    </row>
    <row r="129" spans="1:34" s="9" customFormat="1" ht="14.5">
      <c r="A129" s="9" t="s">
        <v>284</v>
      </c>
      <c r="B129" s="9" t="s">
        <v>285</v>
      </c>
      <c r="C129" s="25">
        <v>1</v>
      </c>
      <c r="D129" s="9" t="s">
        <v>38</v>
      </c>
      <c r="E129" s="9" t="s">
        <v>38</v>
      </c>
      <c r="F129" s="9" t="s">
        <v>39</v>
      </c>
      <c r="G129" s="9" t="s">
        <v>40</v>
      </c>
      <c r="H129" s="9" t="s">
        <v>91</v>
      </c>
      <c r="I129" s="9" t="s">
        <v>92</v>
      </c>
      <c r="J129" s="9" t="s">
        <v>42</v>
      </c>
      <c r="K129" s="9" t="s">
        <v>42</v>
      </c>
      <c r="L129" s="9" t="s">
        <v>42</v>
      </c>
      <c r="M129" s="10" t="s">
        <v>42</v>
      </c>
      <c r="N129" s="40" t="s">
        <v>52</v>
      </c>
      <c r="O129" s="9" t="s">
        <v>86</v>
      </c>
      <c r="P129" s="40" t="s">
        <v>52</v>
      </c>
      <c r="Q129" s="9" t="s">
        <v>286</v>
      </c>
      <c r="R129" s="9" t="s">
        <v>287</v>
      </c>
      <c r="S129" s="9" t="s">
        <v>288</v>
      </c>
      <c r="T129" s="9" t="s">
        <v>265</v>
      </c>
      <c r="U129" s="9" t="s">
        <v>42</v>
      </c>
      <c r="V129" s="9" t="s">
        <v>42</v>
      </c>
      <c r="W129" s="11" t="s">
        <v>64</v>
      </c>
      <c r="X129" s="9" t="s">
        <v>42</v>
      </c>
      <c r="Y129" s="11">
        <v>1</v>
      </c>
      <c r="Z129" s="9">
        <v>0</v>
      </c>
      <c r="AA129" s="9">
        <v>0</v>
      </c>
      <c r="AB129" s="9">
        <v>0</v>
      </c>
      <c r="AC129" s="12">
        <v>1990</v>
      </c>
      <c r="AD129" s="10">
        <v>1991</v>
      </c>
      <c r="AE129" s="13">
        <f>AD129-AC129</f>
        <v>1</v>
      </c>
      <c r="AF129" s="9">
        <v>18</v>
      </c>
      <c r="AG129" s="9" t="s">
        <v>64</v>
      </c>
      <c r="AH129" s="10" t="s">
        <v>64</v>
      </c>
    </row>
    <row r="130" spans="1:34" ht="14.5">
      <c r="A130" t="s">
        <v>289</v>
      </c>
      <c r="B130" t="s">
        <v>290</v>
      </c>
      <c r="C130" s="24">
        <v>1</v>
      </c>
      <c r="D130" t="s">
        <v>38</v>
      </c>
      <c r="E130" t="s">
        <v>38</v>
      </c>
      <c r="F130" t="s">
        <v>39</v>
      </c>
      <c r="G130" t="s">
        <v>40</v>
      </c>
      <c r="H130" t="s">
        <v>91</v>
      </c>
      <c r="I130" t="s">
        <v>92</v>
      </c>
      <c r="J130" t="s">
        <v>42</v>
      </c>
      <c r="K130" t="s">
        <v>42</v>
      </c>
      <c r="L130" t="s">
        <v>42</v>
      </c>
      <c r="M130" t="s">
        <v>42</v>
      </c>
      <c r="N130" s="39" t="s">
        <v>52</v>
      </c>
      <c r="O130" t="s">
        <v>44</v>
      </c>
      <c r="P130" s="39" t="s">
        <v>52</v>
      </c>
      <c r="Q130" t="s">
        <v>94</v>
      </c>
      <c r="R130" t="s">
        <v>291</v>
      </c>
      <c r="S130" t="s">
        <v>69</v>
      </c>
      <c r="T130" t="s">
        <v>42</v>
      </c>
      <c r="U130" t="s">
        <v>42</v>
      </c>
      <c r="V130" t="s">
        <v>42</v>
      </c>
      <c r="W130" s="8" t="s">
        <v>50</v>
      </c>
      <c r="X130" t="s">
        <v>292</v>
      </c>
      <c r="Y130" s="8">
        <v>0</v>
      </c>
      <c r="Z130">
        <v>4</v>
      </c>
      <c r="AA130">
        <v>4</v>
      </c>
      <c r="AB130">
        <v>0</v>
      </c>
      <c r="AC130" s="5">
        <v>2012</v>
      </c>
      <c r="AD130" s="5">
        <v>2012</v>
      </c>
      <c r="AE130" s="6" t="s">
        <v>72</v>
      </c>
      <c r="AF130">
        <v>1</v>
      </c>
      <c r="AG130" t="s">
        <v>64</v>
      </c>
      <c r="AH130" t="s">
        <v>64</v>
      </c>
    </row>
    <row r="131" spans="1:34" ht="14.5">
      <c r="A131" t="s">
        <v>289</v>
      </c>
      <c r="B131" t="s">
        <v>290</v>
      </c>
      <c r="C131" s="24">
        <v>2</v>
      </c>
      <c r="D131" t="s">
        <v>38</v>
      </c>
      <c r="E131" t="s">
        <v>38</v>
      </c>
      <c r="F131" t="s">
        <v>39</v>
      </c>
      <c r="G131" t="s">
        <v>40</v>
      </c>
      <c r="H131" t="s">
        <v>91</v>
      </c>
      <c r="I131" t="s">
        <v>92</v>
      </c>
      <c r="J131" t="s">
        <v>42</v>
      </c>
      <c r="K131" t="s">
        <v>42</v>
      </c>
      <c r="L131" t="s">
        <v>42</v>
      </c>
      <c r="M131" t="s">
        <v>42</v>
      </c>
      <c r="N131" s="39" t="s">
        <v>43</v>
      </c>
      <c r="O131" t="s">
        <v>44</v>
      </c>
      <c r="P131" s="39" t="s">
        <v>293</v>
      </c>
      <c r="Q131" t="s">
        <v>94</v>
      </c>
      <c r="R131" t="s">
        <v>291</v>
      </c>
      <c r="S131" t="s">
        <v>48</v>
      </c>
      <c r="T131" t="s">
        <v>42</v>
      </c>
      <c r="U131" t="s">
        <v>42</v>
      </c>
      <c r="V131" t="s">
        <v>42</v>
      </c>
      <c r="W131" s="8" t="s">
        <v>50</v>
      </c>
      <c r="X131" t="s">
        <v>292</v>
      </c>
      <c r="Y131" s="8">
        <v>0</v>
      </c>
      <c r="Z131">
        <v>4</v>
      </c>
      <c r="AA131">
        <v>4</v>
      </c>
      <c r="AB131">
        <v>0</v>
      </c>
      <c r="AC131" s="5">
        <v>2012</v>
      </c>
      <c r="AD131" s="5">
        <v>2012</v>
      </c>
      <c r="AE131" s="6" t="s">
        <v>72</v>
      </c>
      <c r="AF131">
        <v>1</v>
      </c>
      <c r="AG131" t="s">
        <v>64</v>
      </c>
      <c r="AH131" t="s">
        <v>64</v>
      </c>
    </row>
    <row r="132" spans="1:34" ht="14.5">
      <c r="A132" t="s">
        <v>289</v>
      </c>
      <c r="B132" t="s">
        <v>290</v>
      </c>
      <c r="C132" s="24">
        <v>3</v>
      </c>
      <c r="D132" t="s">
        <v>38</v>
      </c>
      <c r="E132" t="s">
        <v>38</v>
      </c>
      <c r="F132" t="s">
        <v>39</v>
      </c>
      <c r="G132" t="s">
        <v>40</v>
      </c>
      <c r="H132" t="s">
        <v>91</v>
      </c>
      <c r="I132" t="s">
        <v>92</v>
      </c>
      <c r="J132" t="s">
        <v>42</v>
      </c>
      <c r="K132" t="s">
        <v>42</v>
      </c>
      <c r="L132" t="s">
        <v>42</v>
      </c>
      <c r="M132" t="s">
        <v>42</v>
      </c>
      <c r="N132" s="39" t="s">
        <v>99</v>
      </c>
      <c r="O132" t="s">
        <v>44</v>
      </c>
      <c r="P132" s="39" t="s">
        <v>294</v>
      </c>
      <c r="Q132" t="s">
        <v>94</v>
      </c>
      <c r="R132" t="s">
        <v>291</v>
      </c>
      <c r="S132" t="s">
        <v>295</v>
      </c>
      <c r="T132" t="s">
        <v>42</v>
      </c>
      <c r="U132" t="s">
        <v>42</v>
      </c>
      <c r="V132" t="s">
        <v>42</v>
      </c>
      <c r="W132" s="8" t="s">
        <v>50</v>
      </c>
      <c r="X132" t="s">
        <v>292</v>
      </c>
      <c r="Y132" s="8">
        <v>0</v>
      </c>
      <c r="Z132">
        <v>4</v>
      </c>
      <c r="AA132">
        <v>4</v>
      </c>
      <c r="AB132">
        <v>0</v>
      </c>
      <c r="AC132" s="5">
        <v>2012</v>
      </c>
      <c r="AD132" s="5">
        <v>2012</v>
      </c>
      <c r="AE132" s="6" t="s">
        <v>72</v>
      </c>
      <c r="AF132">
        <v>1</v>
      </c>
      <c r="AG132" t="s">
        <v>64</v>
      </c>
      <c r="AH132" t="s">
        <v>64</v>
      </c>
    </row>
    <row r="133" spans="1:34" ht="14.5">
      <c r="A133" t="s">
        <v>289</v>
      </c>
      <c r="B133" t="s">
        <v>290</v>
      </c>
      <c r="C133" s="24">
        <v>4</v>
      </c>
      <c r="D133" t="s">
        <v>38</v>
      </c>
      <c r="E133" t="s">
        <v>38</v>
      </c>
      <c r="F133" t="s">
        <v>39</v>
      </c>
      <c r="G133" t="s">
        <v>40</v>
      </c>
      <c r="H133" t="s">
        <v>91</v>
      </c>
      <c r="I133" t="s">
        <v>92</v>
      </c>
      <c r="J133" t="s">
        <v>42</v>
      </c>
      <c r="K133" t="s">
        <v>42</v>
      </c>
      <c r="L133" t="s">
        <v>42</v>
      </c>
      <c r="M133" t="s">
        <v>42</v>
      </c>
      <c r="N133" s="39" t="s">
        <v>99</v>
      </c>
      <c r="O133" t="s">
        <v>44</v>
      </c>
      <c r="P133" s="39" t="s">
        <v>296</v>
      </c>
      <c r="Q133" t="s">
        <v>94</v>
      </c>
      <c r="R133" t="s">
        <v>291</v>
      </c>
      <c r="S133" t="s">
        <v>297</v>
      </c>
      <c r="T133" t="s">
        <v>42</v>
      </c>
      <c r="U133" t="s">
        <v>42</v>
      </c>
      <c r="V133" t="s">
        <v>42</v>
      </c>
      <c r="W133" s="8" t="s">
        <v>50</v>
      </c>
      <c r="X133" t="s">
        <v>292</v>
      </c>
      <c r="Y133" s="8">
        <v>0</v>
      </c>
      <c r="Z133">
        <v>4</v>
      </c>
      <c r="AA133">
        <v>4</v>
      </c>
      <c r="AB133">
        <v>0</v>
      </c>
      <c r="AC133" s="5">
        <v>2012</v>
      </c>
      <c r="AD133" s="5">
        <v>2012</v>
      </c>
      <c r="AE133" s="6" t="s">
        <v>72</v>
      </c>
      <c r="AF133">
        <v>1</v>
      </c>
      <c r="AG133" t="s">
        <v>64</v>
      </c>
      <c r="AH133" t="s">
        <v>64</v>
      </c>
    </row>
    <row r="134" spans="1:34" ht="14.5">
      <c r="A134" t="s">
        <v>289</v>
      </c>
      <c r="B134" t="s">
        <v>290</v>
      </c>
      <c r="C134" s="24">
        <v>5</v>
      </c>
      <c r="D134" t="s">
        <v>38</v>
      </c>
      <c r="E134" t="s">
        <v>38</v>
      </c>
      <c r="F134" t="s">
        <v>39</v>
      </c>
      <c r="G134" t="s">
        <v>40</v>
      </c>
      <c r="H134" t="s">
        <v>91</v>
      </c>
      <c r="I134" t="s">
        <v>92</v>
      </c>
      <c r="J134" t="s">
        <v>42</v>
      </c>
      <c r="K134" t="s">
        <v>42</v>
      </c>
      <c r="L134" t="s">
        <v>42</v>
      </c>
      <c r="M134" t="s">
        <v>42</v>
      </c>
      <c r="N134" s="39" t="s">
        <v>52</v>
      </c>
      <c r="O134" t="s">
        <v>44</v>
      </c>
      <c r="P134" s="39" t="s">
        <v>52</v>
      </c>
      <c r="Q134" t="s">
        <v>102</v>
      </c>
      <c r="R134" t="s">
        <v>103</v>
      </c>
      <c r="S134" t="s">
        <v>69</v>
      </c>
      <c r="T134" t="s">
        <v>42</v>
      </c>
      <c r="U134" t="s">
        <v>42</v>
      </c>
      <c r="V134" t="s">
        <v>42</v>
      </c>
      <c r="W134" s="8" t="s">
        <v>50</v>
      </c>
      <c r="X134" t="s">
        <v>292</v>
      </c>
      <c r="Y134" s="8">
        <v>0</v>
      </c>
      <c r="Z134">
        <v>4</v>
      </c>
      <c r="AA134">
        <v>4</v>
      </c>
      <c r="AB134">
        <v>0</v>
      </c>
      <c r="AC134" s="5">
        <v>2012</v>
      </c>
      <c r="AD134" s="5">
        <v>2012</v>
      </c>
      <c r="AE134" s="6" t="s">
        <v>72</v>
      </c>
      <c r="AF134">
        <v>1</v>
      </c>
      <c r="AG134" t="s">
        <v>64</v>
      </c>
      <c r="AH134" t="s">
        <v>64</v>
      </c>
    </row>
    <row r="135" spans="1:34" ht="14.5">
      <c r="A135" t="s">
        <v>289</v>
      </c>
      <c r="B135" t="s">
        <v>290</v>
      </c>
      <c r="C135" s="24">
        <v>6</v>
      </c>
      <c r="D135" t="s">
        <v>38</v>
      </c>
      <c r="E135" t="s">
        <v>38</v>
      </c>
      <c r="F135" t="s">
        <v>39</v>
      </c>
      <c r="G135" t="s">
        <v>40</v>
      </c>
      <c r="H135" t="s">
        <v>91</v>
      </c>
      <c r="I135" t="s">
        <v>92</v>
      </c>
      <c r="J135" t="s">
        <v>42</v>
      </c>
      <c r="K135" t="s">
        <v>42</v>
      </c>
      <c r="L135" t="s">
        <v>42</v>
      </c>
      <c r="M135" t="s">
        <v>42</v>
      </c>
      <c r="N135" s="39" t="s">
        <v>43</v>
      </c>
      <c r="O135" t="s">
        <v>44</v>
      </c>
      <c r="P135" s="39" t="s">
        <v>298</v>
      </c>
      <c r="Q135" t="s">
        <v>102</v>
      </c>
      <c r="R135" t="s">
        <v>103</v>
      </c>
      <c r="S135" t="s">
        <v>48</v>
      </c>
      <c r="T135" t="s">
        <v>42</v>
      </c>
      <c r="U135" t="s">
        <v>42</v>
      </c>
      <c r="V135" t="s">
        <v>42</v>
      </c>
      <c r="W135" s="8" t="s">
        <v>50</v>
      </c>
      <c r="X135" t="s">
        <v>292</v>
      </c>
      <c r="Y135" s="8">
        <v>0</v>
      </c>
      <c r="Z135">
        <v>4</v>
      </c>
      <c r="AA135">
        <v>4</v>
      </c>
      <c r="AB135">
        <v>0</v>
      </c>
      <c r="AC135" s="5">
        <v>2012</v>
      </c>
      <c r="AD135" s="5">
        <v>2012</v>
      </c>
      <c r="AE135" s="6" t="s">
        <v>72</v>
      </c>
      <c r="AF135">
        <v>1</v>
      </c>
      <c r="AG135" t="s">
        <v>64</v>
      </c>
      <c r="AH135" t="s">
        <v>64</v>
      </c>
    </row>
    <row r="136" spans="1:34" ht="14.5">
      <c r="A136" t="s">
        <v>289</v>
      </c>
      <c r="B136" t="s">
        <v>290</v>
      </c>
      <c r="C136" s="24">
        <v>7</v>
      </c>
      <c r="D136" t="s">
        <v>38</v>
      </c>
      <c r="E136" t="s">
        <v>38</v>
      </c>
      <c r="F136" t="s">
        <v>39</v>
      </c>
      <c r="G136" t="s">
        <v>40</v>
      </c>
      <c r="H136" t="s">
        <v>91</v>
      </c>
      <c r="I136" t="s">
        <v>92</v>
      </c>
      <c r="J136" t="s">
        <v>42</v>
      </c>
      <c r="K136" t="s">
        <v>42</v>
      </c>
      <c r="L136" t="s">
        <v>42</v>
      </c>
      <c r="M136" t="s">
        <v>42</v>
      </c>
      <c r="N136" s="39" t="s">
        <v>99</v>
      </c>
      <c r="O136" t="s">
        <v>44</v>
      </c>
      <c r="P136" s="39" t="s">
        <v>294</v>
      </c>
      <c r="Q136" t="s">
        <v>102</v>
      </c>
      <c r="R136" t="s">
        <v>103</v>
      </c>
      <c r="S136" t="s">
        <v>295</v>
      </c>
      <c r="T136" t="s">
        <v>42</v>
      </c>
      <c r="U136" t="s">
        <v>42</v>
      </c>
      <c r="V136" t="s">
        <v>42</v>
      </c>
      <c r="W136" s="8" t="s">
        <v>50</v>
      </c>
      <c r="X136" t="s">
        <v>292</v>
      </c>
      <c r="Y136" s="8">
        <v>0</v>
      </c>
      <c r="Z136">
        <v>4</v>
      </c>
      <c r="AA136">
        <v>4</v>
      </c>
      <c r="AB136">
        <v>0</v>
      </c>
      <c r="AC136" s="5">
        <v>2012</v>
      </c>
      <c r="AD136" s="5">
        <v>2012</v>
      </c>
      <c r="AE136" s="6" t="s">
        <v>72</v>
      </c>
      <c r="AF136">
        <v>1</v>
      </c>
      <c r="AG136" t="s">
        <v>64</v>
      </c>
      <c r="AH136" t="s">
        <v>64</v>
      </c>
    </row>
    <row r="137" spans="1:34" s="9" customFormat="1" ht="14.5">
      <c r="A137" s="9" t="s">
        <v>289</v>
      </c>
      <c r="B137" s="9" t="s">
        <v>290</v>
      </c>
      <c r="C137" s="25">
        <v>8</v>
      </c>
      <c r="D137" s="9" t="s">
        <v>38</v>
      </c>
      <c r="E137" s="9" t="s">
        <v>38</v>
      </c>
      <c r="F137" s="9" t="s">
        <v>39</v>
      </c>
      <c r="G137" s="9" t="s">
        <v>40</v>
      </c>
      <c r="H137" s="9" t="s">
        <v>91</v>
      </c>
      <c r="I137" s="9" t="s">
        <v>92</v>
      </c>
      <c r="J137" s="9" t="s">
        <v>42</v>
      </c>
      <c r="K137" s="9" t="s">
        <v>42</v>
      </c>
      <c r="L137" s="9" t="s">
        <v>42</v>
      </c>
      <c r="M137" s="9" t="s">
        <v>42</v>
      </c>
      <c r="N137" s="40" t="s">
        <v>99</v>
      </c>
      <c r="O137" s="9" t="s">
        <v>44</v>
      </c>
      <c r="P137" s="40" t="s">
        <v>296</v>
      </c>
      <c r="Q137" s="9" t="s">
        <v>102</v>
      </c>
      <c r="R137" s="9" t="s">
        <v>103</v>
      </c>
      <c r="S137" s="9" t="s">
        <v>297</v>
      </c>
      <c r="T137" s="9" t="s">
        <v>42</v>
      </c>
      <c r="U137" s="9" t="s">
        <v>42</v>
      </c>
      <c r="V137" s="9" t="s">
        <v>42</v>
      </c>
      <c r="W137" s="11" t="s">
        <v>50</v>
      </c>
      <c r="X137" s="9" t="s">
        <v>292</v>
      </c>
      <c r="Y137" s="11">
        <v>0</v>
      </c>
      <c r="Z137" s="9">
        <v>4</v>
      </c>
      <c r="AA137" s="9">
        <v>4</v>
      </c>
      <c r="AB137" s="9">
        <v>0</v>
      </c>
      <c r="AC137" s="12">
        <v>2012</v>
      </c>
      <c r="AD137" s="12">
        <v>2012</v>
      </c>
      <c r="AE137" s="13" t="s">
        <v>72</v>
      </c>
      <c r="AF137" s="9">
        <v>1</v>
      </c>
      <c r="AG137" s="9" t="s">
        <v>64</v>
      </c>
      <c r="AH137" s="9" t="s">
        <v>64</v>
      </c>
    </row>
    <row r="138" spans="1:34" ht="14.5">
      <c r="A138" t="s">
        <v>299</v>
      </c>
      <c r="B138" t="s">
        <v>300</v>
      </c>
      <c r="C138" s="24">
        <v>1</v>
      </c>
      <c r="D138" t="s">
        <v>38</v>
      </c>
      <c r="E138" t="s">
        <v>38</v>
      </c>
      <c r="F138" t="s">
        <v>39</v>
      </c>
      <c r="G138" t="s">
        <v>40</v>
      </c>
      <c r="H138" t="s">
        <v>91</v>
      </c>
      <c r="I138" t="s">
        <v>42</v>
      </c>
      <c r="J138" t="s">
        <v>42</v>
      </c>
      <c r="K138" t="s">
        <v>42</v>
      </c>
      <c r="L138" t="s">
        <v>42</v>
      </c>
      <c r="M138" s="1" t="s">
        <v>42</v>
      </c>
      <c r="N138" s="39" t="s">
        <v>43</v>
      </c>
      <c r="O138" t="s">
        <v>44</v>
      </c>
      <c r="P138" s="39" t="s">
        <v>293</v>
      </c>
      <c r="Q138" t="s">
        <v>108</v>
      </c>
      <c r="R138" t="s">
        <v>109</v>
      </c>
      <c r="S138" t="s">
        <v>48</v>
      </c>
      <c r="T138" t="s">
        <v>301</v>
      </c>
      <c r="U138" t="s">
        <v>42</v>
      </c>
      <c r="V138" t="s">
        <v>42</v>
      </c>
      <c r="W138" s="8" t="s">
        <v>50</v>
      </c>
      <c r="X138" t="s">
        <v>302</v>
      </c>
      <c r="Y138" s="8">
        <v>0</v>
      </c>
      <c r="Z138">
        <v>15</v>
      </c>
      <c r="AA138">
        <v>23</v>
      </c>
      <c r="AB138">
        <v>0</v>
      </c>
      <c r="AC138" s="5">
        <v>2017</v>
      </c>
      <c r="AD138" s="1">
        <v>2018</v>
      </c>
      <c r="AE138" s="6" t="s">
        <v>72</v>
      </c>
      <c r="AF138">
        <v>1</v>
      </c>
      <c r="AG138" t="s">
        <v>64</v>
      </c>
      <c r="AH138" s="1" t="s">
        <v>64</v>
      </c>
    </row>
    <row r="139" spans="1:34" ht="14.5">
      <c r="A139" t="s">
        <v>299</v>
      </c>
      <c r="B139" t="s">
        <v>300</v>
      </c>
      <c r="C139" s="24">
        <v>2</v>
      </c>
      <c r="D139" t="s">
        <v>38</v>
      </c>
      <c r="E139" t="s">
        <v>38</v>
      </c>
      <c r="F139" t="s">
        <v>39</v>
      </c>
      <c r="G139" t="s">
        <v>40</v>
      </c>
      <c r="H139" t="s">
        <v>91</v>
      </c>
      <c r="I139" t="s">
        <v>42</v>
      </c>
      <c r="J139" t="s">
        <v>42</v>
      </c>
      <c r="K139" t="s">
        <v>42</v>
      </c>
      <c r="L139" t="s">
        <v>42</v>
      </c>
      <c r="M139" s="1" t="s">
        <v>42</v>
      </c>
      <c r="N139" s="39" t="s">
        <v>43</v>
      </c>
      <c r="O139" t="s">
        <v>44</v>
      </c>
      <c r="P139" s="39" t="s">
        <v>303</v>
      </c>
      <c r="Q139" t="s">
        <v>108</v>
      </c>
      <c r="R139" t="s">
        <v>109</v>
      </c>
      <c r="S139" t="s">
        <v>88</v>
      </c>
      <c r="T139" t="s">
        <v>301</v>
      </c>
      <c r="U139" t="s">
        <v>42</v>
      </c>
      <c r="V139" t="s">
        <v>42</v>
      </c>
      <c r="W139" s="8" t="s">
        <v>50</v>
      </c>
      <c r="X139" t="s">
        <v>302</v>
      </c>
      <c r="Y139" s="8">
        <v>0</v>
      </c>
      <c r="Z139">
        <v>15</v>
      </c>
      <c r="AA139">
        <v>23</v>
      </c>
      <c r="AB139">
        <v>0</v>
      </c>
      <c r="AC139" s="5">
        <v>2017</v>
      </c>
      <c r="AD139" s="1">
        <v>2018</v>
      </c>
      <c r="AE139" s="6" t="s">
        <v>72</v>
      </c>
      <c r="AF139">
        <v>1</v>
      </c>
      <c r="AG139" t="s">
        <v>64</v>
      </c>
      <c r="AH139" s="1" t="s">
        <v>64</v>
      </c>
    </row>
    <row r="140" spans="1:34" ht="14.5">
      <c r="A140" t="s">
        <v>299</v>
      </c>
      <c r="B140" t="s">
        <v>300</v>
      </c>
      <c r="C140" s="24">
        <v>3</v>
      </c>
      <c r="D140" t="s">
        <v>38</v>
      </c>
      <c r="E140" t="s">
        <v>38</v>
      </c>
      <c r="F140" t="s">
        <v>39</v>
      </c>
      <c r="G140" t="s">
        <v>40</v>
      </c>
      <c r="H140" t="s">
        <v>91</v>
      </c>
      <c r="I140" t="s">
        <v>42</v>
      </c>
      <c r="J140" t="s">
        <v>42</v>
      </c>
      <c r="K140" t="s">
        <v>42</v>
      </c>
      <c r="L140" t="s">
        <v>42</v>
      </c>
      <c r="M140" s="1" t="s">
        <v>42</v>
      </c>
      <c r="N140" s="39" t="s">
        <v>43</v>
      </c>
      <c r="O140" t="s">
        <v>44</v>
      </c>
      <c r="P140" s="39" t="s">
        <v>247</v>
      </c>
      <c r="Q140" t="s">
        <v>94</v>
      </c>
      <c r="R140" t="s">
        <v>113</v>
      </c>
      <c r="S140" t="s">
        <v>48</v>
      </c>
      <c r="T140" t="s">
        <v>301</v>
      </c>
      <c r="U140" t="s">
        <v>42</v>
      </c>
      <c r="V140" t="s">
        <v>42</v>
      </c>
      <c r="W140" s="8" t="s">
        <v>50</v>
      </c>
      <c r="X140" t="s">
        <v>302</v>
      </c>
      <c r="Y140" s="8">
        <v>0</v>
      </c>
      <c r="Z140">
        <v>15</v>
      </c>
      <c r="AA140">
        <v>23</v>
      </c>
      <c r="AB140">
        <v>0</v>
      </c>
      <c r="AC140" s="5">
        <v>2017</v>
      </c>
      <c r="AD140" s="1">
        <v>2018</v>
      </c>
      <c r="AE140" s="6" t="s">
        <v>72</v>
      </c>
      <c r="AF140">
        <v>1</v>
      </c>
      <c r="AG140" t="s">
        <v>64</v>
      </c>
      <c r="AH140" s="1" t="s">
        <v>64</v>
      </c>
    </row>
    <row r="141" spans="1:34" s="9" customFormat="1" ht="14.5">
      <c r="A141" s="9" t="s">
        <v>299</v>
      </c>
      <c r="B141" s="9" t="s">
        <v>300</v>
      </c>
      <c r="C141" s="25">
        <v>4</v>
      </c>
      <c r="D141" s="9" t="s">
        <v>38</v>
      </c>
      <c r="E141" s="9" t="s">
        <v>38</v>
      </c>
      <c r="F141" s="9" t="s">
        <v>39</v>
      </c>
      <c r="G141" s="9" t="s">
        <v>40</v>
      </c>
      <c r="H141" s="9" t="s">
        <v>91</v>
      </c>
      <c r="I141" s="9" t="s">
        <v>42</v>
      </c>
      <c r="J141" s="9" t="s">
        <v>42</v>
      </c>
      <c r="K141" s="9" t="s">
        <v>42</v>
      </c>
      <c r="L141" s="9" t="s">
        <v>42</v>
      </c>
      <c r="M141" s="10" t="s">
        <v>42</v>
      </c>
      <c r="N141" s="40" t="s">
        <v>43</v>
      </c>
      <c r="O141" s="9" t="s">
        <v>44</v>
      </c>
      <c r="P141" s="40" t="s">
        <v>303</v>
      </c>
      <c r="Q141" s="9" t="s">
        <v>94</v>
      </c>
      <c r="R141" s="9" t="s">
        <v>113</v>
      </c>
      <c r="S141" s="9" t="s">
        <v>88</v>
      </c>
      <c r="T141" s="9" t="s">
        <v>301</v>
      </c>
      <c r="U141" s="9" t="s">
        <v>42</v>
      </c>
      <c r="V141" s="9" t="s">
        <v>42</v>
      </c>
      <c r="W141" s="11" t="s">
        <v>50</v>
      </c>
      <c r="X141" s="9" t="s">
        <v>302</v>
      </c>
      <c r="Y141" s="11">
        <v>0</v>
      </c>
      <c r="Z141" s="9">
        <v>15</v>
      </c>
      <c r="AA141" s="9">
        <v>23</v>
      </c>
      <c r="AB141" s="9">
        <v>0</v>
      </c>
      <c r="AC141" s="12">
        <v>2017</v>
      </c>
      <c r="AD141" s="10">
        <v>2018</v>
      </c>
      <c r="AE141" s="13" t="s">
        <v>72</v>
      </c>
      <c r="AF141" s="9">
        <v>1</v>
      </c>
      <c r="AG141" s="9" t="s">
        <v>64</v>
      </c>
      <c r="AH141" s="10" t="s">
        <v>64</v>
      </c>
    </row>
    <row r="142" spans="1:34" ht="14.5">
      <c r="A142" t="s">
        <v>304</v>
      </c>
      <c r="B142" t="s">
        <v>305</v>
      </c>
      <c r="C142" s="24">
        <v>1</v>
      </c>
      <c r="D142" t="s">
        <v>38</v>
      </c>
      <c r="E142" t="s">
        <v>38</v>
      </c>
      <c r="F142" t="s">
        <v>39</v>
      </c>
      <c r="G142" t="s">
        <v>40</v>
      </c>
      <c r="H142" t="s">
        <v>41</v>
      </c>
      <c r="I142" t="s">
        <v>42</v>
      </c>
      <c r="J142" t="s">
        <v>42</v>
      </c>
      <c r="K142" t="s">
        <v>42</v>
      </c>
      <c r="L142" t="s">
        <v>42</v>
      </c>
      <c r="M142" t="s">
        <v>42</v>
      </c>
      <c r="N142" s="39" t="s">
        <v>52</v>
      </c>
      <c r="O142" t="s">
        <v>86</v>
      </c>
      <c r="P142" s="39" t="s">
        <v>52</v>
      </c>
      <c r="Q142" t="s">
        <v>46</v>
      </c>
      <c r="R142" t="s">
        <v>306</v>
      </c>
      <c r="S142" t="s">
        <v>69</v>
      </c>
      <c r="T142" t="s">
        <v>307</v>
      </c>
      <c r="U142" t="s">
        <v>42</v>
      </c>
      <c r="V142" t="s">
        <v>42</v>
      </c>
      <c r="W142" s="8" t="s">
        <v>64</v>
      </c>
      <c r="X142" t="s">
        <v>42</v>
      </c>
      <c r="Y142" s="8">
        <v>0</v>
      </c>
      <c r="Z142">
        <v>3</v>
      </c>
      <c r="AA142">
        <v>3</v>
      </c>
      <c r="AB142">
        <v>0</v>
      </c>
      <c r="AC142" s="5">
        <v>2019</v>
      </c>
      <c r="AD142" s="1">
        <v>2023</v>
      </c>
      <c r="AE142" s="6">
        <f>AD142-AC142</f>
        <v>4</v>
      </c>
      <c r="AF142">
        <v>7</v>
      </c>
      <c r="AG142" t="s">
        <v>64</v>
      </c>
      <c r="AH142" s="1" t="s">
        <v>64</v>
      </c>
    </row>
    <row r="143" spans="1:34" ht="14.5">
      <c r="A143" t="s">
        <v>304</v>
      </c>
      <c r="B143" t="s">
        <v>305</v>
      </c>
      <c r="C143" s="24">
        <v>2</v>
      </c>
      <c r="D143" t="s">
        <v>38</v>
      </c>
      <c r="E143" t="s">
        <v>38</v>
      </c>
      <c r="F143" t="s">
        <v>39</v>
      </c>
      <c r="G143" t="s">
        <v>40</v>
      </c>
      <c r="H143" t="s">
        <v>41</v>
      </c>
      <c r="I143" t="s">
        <v>42</v>
      </c>
      <c r="J143" t="s">
        <v>42</v>
      </c>
      <c r="K143" t="s">
        <v>42</v>
      </c>
      <c r="L143" t="s">
        <v>42</v>
      </c>
      <c r="M143" t="s">
        <v>42</v>
      </c>
      <c r="N143" s="39" t="s">
        <v>43</v>
      </c>
      <c r="O143" t="s">
        <v>86</v>
      </c>
      <c r="P143" s="39" t="s">
        <v>73</v>
      </c>
      <c r="Q143" t="s">
        <v>46</v>
      </c>
      <c r="R143" t="s">
        <v>306</v>
      </c>
      <c r="S143" t="s">
        <v>48</v>
      </c>
      <c r="T143" t="s">
        <v>307</v>
      </c>
      <c r="U143" t="s">
        <v>42</v>
      </c>
      <c r="V143" t="s">
        <v>42</v>
      </c>
      <c r="W143" s="8" t="s">
        <v>64</v>
      </c>
      <c r="X143" t="s">
        <v>42</v>
      </c>
      <c r="Y143" s="8">
        <v>0</v>
      </c>
      <c r="Z143">
        <v>3</v>
      </c>
      <c r="AA143">
        <v>3</v>
      </c>
      <c r="AB143">
        <v>0</v>
      </c>
      <c r="AC143" s="5">
        <v>2019</v>
      </c>
      <c r="AD143" s="1">
        <v>2023</v>
      </c>
      <c r="AE143" s="6">
        <f>AD143-AC143</f>
        <v>4</v>
      </c>
      <c r="AF143">
        <v>7</v>
      </c>
      <c r="AG143" t="s">
        <v>64</v>
      </c>
      <c r="AH143" s="1" t="s">
        <v>64</v>
      </c>
    </row>
    <row r="144" spans="1:34" ht="14.5">
      <c r="A144" t="s">
        <v>304</v>
      </c>
      <c r="B144" t="s">
        <v>305</v>
      </c>
      <c r="C144" s="24">
        <v>3</v>
      </c>
      <c r="D144" t="s">
        <v>38</v>
      </c>
      <c r="E144" t="s">
        <v>38</v>
      </c>
      <c r="F144" t="s">
        <v>39</v>
      </c>
      <c r="G144" t="s">
        <v>40</v>
      </c>
      <c r="H144" t="s">
        <v>41</v>
      </c>
      <c r="I144" t="s">
        <v>42</v>
      </c>
      <c r="J144" t="s">
        <v>42</v>
      </c>
      <c r="K144" t="s">
        <v>42</v>
      </c>
      <c r="L144" t="s">
        <v>42</v>
      </c>
      <c r="M144" t="s">
        <v>42</v>
      </c>
      <c r="N144" s="39" t="s">
        <v>52</v>
      </c>
      <c r="O144" t="s">
        <v>86</v>
      </c>
      <c r="P144" s="39" t="s">
        <v>52</v>
      </c>
      <c r="Q144" t="s">
        <v>308</v>
      </c>
      <c r="R144" t="s">
        <v>42</v>
      </c>
      <c r="S144" t="s">
        <v>69</v>
      </c>
      <c r="T144" t="s">
        <v>307</v>
      </c>
      <c r="U144" t="s">
        <v>42</v>
      </c>
      <c r="V144" t="s">
        <v>42</v>
      </c>
      <c r="W144" s="8" t="s">
        <v>64</v>
      </c>
      <c r="X144" t="s">
        <v>42</v>
      </c>
      <c r="Y144" s="8">
        <v>0</v>
      </c>
      <c r="Z144">
        <v>3</v>
      </c>
      <c r="AA144">
        <v>3</v>
      </c>
      <c r="AB144">
        <v>0</v>
      </c>
      <c r="AC144" s="5">
        <v>2019</v>
      </c>
      <c r="AD144" s="1">
        <v>2023</v>
      </c>
      <c r="AE144" s="6">
        <f>AD144-AC144</f>
        <v>4</v>
      </c>
      <c r="AF144">
        <v>7</v>
      </c>
      <c r="AG144" t="s">
        <v>64</v>
      </c>
      <c r="AH144" s="1" t="s">
        <v>64</v>
      </c>
    </row>
    <row r="145" spans="1:34" s="9" customFormat="1" ht="14.5">
      <c r="A145" s="9" t="s">
        <v>304</v>
      </c>
      <c r="B145" s="9" t="s">
        <v>305</v>
      </c>
      <c r="C145" s="25">
        <v>4</v>
      </c>
      <c r="D145" s="9" t="s">
        <v>38</v>
      </c>
      <c r="E145" s="9" t="s">
        <v>38</v>
      </c>
      <c r="F145" s="9" t="s">
        <v>39</v>
      </c>
      <c r="G145" s="9" t="s">
        <v>40</v>
      </c>
      <c r="H145" s="9" t="s">
        <v>309</v>
      </c>
      <c r="I145" s="9" t="s">
        <v>310</v>
      </c>
      <c r="J145" s="9" t="s">
        <v>42</v>
      </c>
      <c r="K145" s="9" t="s">
        <v>42</v>
      </c>
      <c r="L145" s="9" t="s">
        <v>42</v>
      </c>
      <c r="M145" s="9" t="s">
        <v>42</v>
      </c>
      <c r="N145" s="40" t="s">
        <v>311</v>
      </c>
      <c r="O145" s="9" t="s">
        <v>86</v>
      </c>
      <c r="P145" s="40" t="s">
        <v>312</v>
      </c>
      <c r="Q145" s="9" t="s">
        <v>77</v>
      </c>
      <c r="R145" s="9" t="s">
        <v>42</v>
      </c>
      <c r="S145" s="9" t="s">
        <v>313</v>
      </c>
      <c r="T145" s="9" t="s">
        <v>307</v>
      </c>
      <c r="U145" s="9" t="s">
        <v>42</v>
      </c>
      <c r="V145" s="9" t="s">
        <v>42</v>
      </c>
      <c r="W145" s="11" t="s">
        <v>64</v>
      </c>
      <c r="X145" s="9" t="s">
        <v>42</v>
      </c>
      <c r="Y145" s="11">
        <v>0</v>
      </c>
      <c r="Z145" s="9">
        <v>3</v>
      </c>
      <c r="AA145" s="9">
        <v>3</v>
      </c>
      <c r="AB145" s="9">
        <v>0</v>
      </c>
      <c r="AC145" s="12">
        <v>2021</v>
      </c>
      <c r="AD145" s="10">
        <v>2023</v>
      </c>
      <c r="AE145" s="13">
        <v>2</v>
      </c>
      <c r="AF145" s="9">
        <v>5</v>
      </c>
      <c r="AG145" s="9" t="s">
        <v>64</v>
      </c>
      <c r="AH145" s="10" t="s">
        <v>64</v>
      </c>
    </row>
    <row r="146" spans="1:34" ht="14.5">
      <c r="A146" t="s">
        <v>314</v>
      </c>
      <c r="B146" t="s">
        <v>315</v>
      </c>
      <c r="C146" s="24">
        <v>1</v>
      </c>
      <c r="D146" t="s">
        <v>38</v>
      </c>
      <c r="E146" t="s">
        <v>38</v>
      </c>
      <c r="F146" t="s">
        <v>39</v>
      </c>
      <c r="G146" t="s">
        <v>40</v>
      </c>
      <c r="H146" t="s">
        <v>91</v>
      </c>
      <c r="I146" t="s">
        <v>42</v>
      </c>
      <c r="J146" t="s">
        <v>42</v>
      </c>
      <c r="K146" t="s">
        <v>42</v>
      </c>
      <c r="L146" t="s">
        <v>42</v>
      </c>
      <c r="M146" s="1" t="s">
        <v>42</v>
      </c>
      <c r="N146" s="39" t="s">
        <v>52</v>
      </c>
      <c r="O146" t="s">
        <v>44</v>
      </c>
      <c r="P146" s="39" t="s">
        <v>52</v>
      </c>
      <c r="Q146" t="s">
        <v>108</v>
      </c>
      <c r="R146" t="s">
        <v>109</v>
      </c>
      <c r="S146" t="s">
        <v>69</v>
      </c>
      <c r="T146" t="s">
        <v>42</v>
      </c>
      <c r="U146" t="s">
        <v>42</v>
      </c>
      <c r="V146" t="s">
        <v>42</v>
      </c>
      <c r="W146" s="8" t="s">
        <v>50</v>
      </c>
      <c r="X146" t="s">
        <v>316</v>
      </c>
      <c r="Y146" s="8">
        <v>0</v>
      </c>
      <c r="Z146">
        <v>5</v>
      </c>
      <c r="AA146">
        <v>0</v>
      </c>
      <c r="AB146">
        <v>7</v>
      </c>
      <c r="AC146" s="5">
        <v>2016</v>
      </c>
      <c r="AD146" s="1">
        <v>2016</v>
      </c>
      <c r="AE146" s="6" t="s">
        <v>72</v>
      </c>
      <c r="AF146">
        <v>1</v>
      </c>
      <c r="AG146" t="s">
        <v>64</v>
      </c>
      <c r="AH146" s="1" t="s">
        <v>64</v>
      </c>
    </row>
    <row r="147" spans="1:34" ht="14.5">
      <c r="A147" t="s">
        <v>314</v>
      </c>
      <c r="B147" t="s">
        <v>315</v>
      </c>
      <c r="C147" s="24">
        <v>2</v>
      </c>
      <c r="D147" t="s">
        <v>38</v>
      </c>
      <c r="E147" t="s">
        <v>38</v>
      </c>
      <c r="F147" t="s">
        <v>39</v>
      </c>
      <c r="G147" t="s">
        <v>40</v>
      </c>
      <c r="H147" t="s">
        <v>91</v>
      </c>
      <c r="I147" t="s">
        <v>42</v>
      </c>
      <c r="J147" t="s">
        <v>42</v>
      </c>
      <c r="K147" t="s">
        <v>42</v>
      </c>
      <c r="L147" t="s">
        <v>42</v>
      </c>
      <c r="M147" s="1" t="s">
        <v>42</v>
      </c>
      <c r="N147" s="39" t="s">
        <v>43</v>
      </c>
      <c r="O147" t="s">
        <v>44</v>
      </c>
      <c r="P147" s="39" t="s">
        <v>43</v>
      </c>
      <c r="Q147" t="s">
        <v>108</v>
      </c>
      <c r="R147" t="s">
        <v>109</v>
      </c>
      <c r="S147" t="s">
        <v>136</v>
      </c>
      <c r="T147" t="s">
        <v>42</v>
      </c>
      <c r="U147" t="s">
        <v>42</v>
      </c>
      <c r="V147" t="s">
        <v>42</v>
      </c>
      <c r="W147" s="8" t="s">
        <v>50</v>
      </c>
      <c r="X147" t="s">
        <v>316</v>
      </c>
      <c r="Y147" s="8">
        <v>0</v>
      </c>
      <c r="Z147">
        <v>5</v>
      </c>
      <c r="AA147">
        <v>0</v>
      </c>
      <c r="AB147">
        <v>7</v>
      </c>
      <c r="AC147" s="5">
        <v>2016</v>
      </c>
      <c r="AD147" s="1">
        <v>2016</v>
      </c>
      <c r="AE147" s="6" t="s">
        <v>72</v>
      </c>
      <c r="AF147">
        <v>1</v>
      </c>
      <c r="AG147" t="s">
        <v>64</v>
      </c>
      <c r="AH147" s="1" t="s">
        <v>64</v>
      </c>
    </row>
    <row r="148" spans="1:34" ht="14.5">
      <c r="A148" t="s">
        <v>314</v>
      </c>
      <c r="B148" t="s">
        <v>315</v>
      </c>
      <c r="C148" s="24">
        <v>3</v>
      </c>
      <c r="D148" t="s">
        <v>38</v>
      </c>
      <c r="E148" t="s">
        <v>38</v>
      </c>
      <c r="F148" t="s">
        <v>39</v>
      </c>
      <c r="G148" t="s">
        <v>40</v>
      </c>
      <c r="H148" t="s">
        <v>91</v>
      </c>
      <c r="I148" t="s">
        <v>42</v>
      </c>
      <c r="J148" t="s">
        <v>42</v>
      </c>
      <c r="K148" t="s">
        <v>42</v>
      </c>
      <c r="L148" t="s">
        <v>42</v>
      </c>
      <c r="M148" s="1" t="s">
        <v>42</v>
      </c>
      <c r="N148" s="39" t="s">
        <v>43</v>
      </c>
      <c r="O148" t="s">
        <v>44</v>
      </c>
      <c r="P148" s="39" t="s">
        <v>317</v>
      </c>
      <c r="Q148" t="s">
        <v>108</v>
      </c>
      <c r="R148" t="s">
        <v>109</v>
      </c>
      <c r="S148" t="s">
        <v>88</v>
      </c>
      <c r="T148" t="s">
        <v>42</v>
      </c>
      <c r="U148" t="s">
        <v>42</v>
      </c>
      <c r="V148" t="s">
        <v>42</v>
      </c>
      <c r="W148" s="8" t="s">
        <v>50</v>
      </c>
      <c r="X148" t="s">
        <v>316</v>
      </c>
      <c r="Y148" s="8">
        <v>0</v>
      </c>
      <c r="Z148">
        <v>5</v>
      </c>
      <c r="AA148">
        <v>0</v>
      </c>
      <c r="AB148">
        <v>7</v>
      </c>
      <c r="AC148" s="5">
        <v>2016</v>
      </c>
      <c r="AD148" s="1">
        <v>2016</v>
      </c>
      <c r="AE148" s="6" t="s">
        <v>72</v>
      </c>
      <c r="AF148">
        <v>1</v>
      </c>
      <c r="AG148" t="s">
        <v>64</v>
      </c>
      <c r="AH148" s="1" t="s">
        <v>64</v>
      </c>
    </row>
    <row r="149" spans="1:34" ht="14.5">
      <c r="A149" t="s">
        <v>314</v>
      </c>
      <c r="B149" t="s">
        <v>315</v>
      </c>
      <c r="C149" s="24">
        <v>4</v>
      </c>
      <c r="D149" t="s">
        <v>38</v>
      </c>
      <c r="E149" t="s">
        <v>38</v>
      </c>
      <c r="F149" t="s">
        <v>39</v>
      </c>
      <c r="G149" t="s">
        <v>40</v>
      </c>
      <c r="H149" t="s">
        <v>91</v>
      </c>
      <c r="I149" t="s">
        <v>42</v>
      </c>
      <c r="J149" t="s">
        <v>42</v>
      </c>
      <c r="K149" t="s">
        <v>42</v>
      </c>
      <c r="L149" t="s">
        <v>42</v>
      </c>
      <c r="M149" s="1" t="s">
        <v>42</v>
      </c>
      <c r="N149" s="39" t="s">
        <v>57</v>
      </c>
      <c r="O149" t="s">
        <v>44</v>
      </c>
      <c r="P149" s="39" t="s">
        <v>318</v>
      </c>
      <c r="Q149" t="s">
        <v>108</v>
      </c>
      <c r="R149" t="s">
        <v>109</v>
      </c>
      <c r="S149" t="s">
        <v>88</v>
      </c>
      <c r="T149" t="s">
        <v>42</v>
      </c>
      <c r="U149" t="s">
        <v>42</v>
      </c>
      <c r="V149" t="s">
        <v>42</v>
      </c>
      <c r="W149" s="8" t="s">
        <v>50</v>
      </c>
      <c r="X149" t="s">
        <v>316</v>
      </c>
      <c r="Y149" s="8">
        <v>0</v>
      </c>
      <c r="Z149">
        <v>5</v>
      </c>
      <c r="AA149">
        <v>0</v>
      </c>
      <c r="AB149">
        <v>7</v>
      </c>
      <c r="AC149" s="5">
        <v>2016</v>
      </c>
      <c r="AD149" s="1">
        <v>2016</v>
      </c>
      <c r="AE149" s="6" t="s">
        <v>72</v>
      </c>
      <c r="AF149">
        <v>1</v>
      </c>
      <c r="AG149" t="s">
        <v>64</v>
      </c>
      <c r="AH149" s="1" t="s">
        <v>64</v>
      </c>
    </row>
    <row r="150" spans="1:34" ht="14.5">
      <c r="A150" t="s">
        <v>314</v>
      </c>
      <c r="B150" t="s">
        <v>315</v>
      </c>
      <c r="C150" s="24">
        <v>5</v>
      </c>
      <c r="D150" t="s">
        <v>38</v>
      </c>
      <c r="E150" t="s">
        <v>38</v>
      </c>
      <c r="F150" t="s">
        <v>39</v>
      </c>
      <c r="G150" t="s">
        <v>40</v>
      </c>
      <c r="H150" t="s">
        <v>91</v>
      </c>
      <c r="I150" t="s">
        <v>42</v>
      </c>
      <c r="J150" t="s">
        <v>42</v>
      </c>
      <c r="K150" t="s">
        <v>42</v>
      </c>
      <c r="L150" t="s">
        <v>42</v>
      </c>
      <c r="M150" s="1" t="s">
        <v>42</v>
      </c>
      <c r="N150" s="39" t="s">
        <v>52</v>
      </c>
      <c r="O150" t="s">
        <v>44</v>
      </c>
      <c r="P150" s="39" t="s">
        <v>52</v>
      </c>
      <c r="Q150" t="s">
        <v>102</v>
      </c>
      <c r="R150" t="s">
        <v>319</v>
      </c>
      <c r="S150" t="s">
        <v>69</v>
      </c>
      <c r="T150" t="s">
        <v>42</v>
      </c>
      <c r="U150" t="s">
        <v>42</v>
      </c>
      <c r="V150" t="s">
        <v>42</v>
      </c>
      <c r="W150" s="8" t="s">
        <v>50</v>
      </c>
      <c r="X150" t="s">
        <v>316</v>
      </c>
      <c r="Y150" s="8">
        <v>0</v>
      </c>
      <c r="Z150">
        <v>5</v>
      </c>
      <c r="AA150">
        <v>0</v>
      </c>
      <c r="AB150">
        <v>7</v>
      </c>
      <c r="AC150" s="5">
        <v>2016</v>
      </c>
      <c r="AD150" s="1">
        <v>2016</v>
      </c>
      <c r="AE150" s="6" t="s">
        <v>72</v>
      </c>
      <c r="AF150">
        <v>1</v>
      </c>
      <c r="AG150" t="s">
        <v>64</v>
      </c>
      <c r="AH150" s="1" t="s">
        <v>64</v>
      </c>
    </row>
    <row r="151" spans="1:34" ht="14.5">
      <c r="A151" t="s">
        <v>314</v>
      </c>
      <c r="B151" t="s">
        <v>315</v>
      </c>
      <c r="C151" s="24">
        <v>6</v>
      </c>
      <c r="D151" t="s">
        <v>38</v>
      </c>
      <c r="E151" t="s">
        <v>38</v>
      </c>
      <c r="F151" t="s">
        <v>39</v>
      </c>
      <c r="G151" t="s">
        <v>40</v>
      </c>
      <c r="H151" t="s">
        <v>91</v>
      </c>
      <c r="I151" t="s">
        <v>42</v>
      </c>
      <c r="J151" t="s">
        <v>42</v>
      </c>
      <c r="K151" t="s">
        <v>42</v>
      </c>
      <c r="L151" t="s">
        <v>42</v>
      </c>
      <c r="M151" s="1" t="s">
        <v>42</v>
      </c>
      <c r="N151" s="39" t="s">
        <v>43</v>
      </c>
      <c r="O151" t="s">
        <v>44</v>
      </c>
      <c r="P151" s="39" t="s">
        <v>43</v>
      </c>
      <c r="Q151" t="s">
        <v>102</v>
      </c>
      <c r="R151" t="s">
        <v>319</v>
      </c>
      <c r="S151" t="s">
        <v>136</v>
      </c>
      <c r="T151" t="s">
        <v>42</v>
      </c>
      <c r="U151" t="s">
        <v>42</v>
      </c>
      <c r="V151" t="s">
        <v>42</v>
      </c>
      <c r="W151" s="8" t="s">
        <v>50</v>
      </c>
      <c r="X151" t="s">
        <v>316</v>
      </c>
      <c r="Y151" s="8">
        <v>0</v>
      </c>
      <c r="Z151">
        <v>5</v>
      </c>
      <c r="AA151">
        <v>0</v>
      </c>
      <c r="AB151">
        <v>7</v>
      </c>
      <c r="AC151" s="5">
        <v>2016</v>
      </c>
      <c r="AD151" s="1">
        <v>2016</v>
      </c>
      <c r="AE151" s="6" t="s">
        <v>72</v>
      </c>
      <c r="AF151">
        <v>1</v>
      </c>
      <c r="AG151" t="s">
        <v>64</v>
      </c>
      <c r="AH151" s="1" t="s">
        <v>64</v>
      </c>
    </row>
    <row r="152" spans="1:34" ht="14.5">
      <c r="A152" t="s">
        <v>314</v>
      </c>
      <c r="B152" t="s">
        <v>315</v>
      </c>
      <c r="C152" s="24">
        <v>7</v>
      </c>
      <c r="D152" t="s">
        <v>38</v>
      </c>
      <c r="E152" t="s">
        <v>38</v>
      </c>
      <c r="F152" t="s">
        <v>39</v>
      </c>
      <c r="G152" t="s">
        <v>40</v>
      </c>
      <c r="H152" t="s">
        <v>91</v>
      </c>
      <c r="I152" t="s">
        <v>42</v>
      </c>
      <c r="J152" t="s">
        <v>42</v>
      </c>
      <c r="K152" t="s">
        <v>42</v>
      </c>
      <c r="L152" t="s">
        <v>42</v>
      </c>
      <c r="M152" s="1" t="s">
        <v>42</v>
      </c>
      <c r="N152" s="39" t="s">
        <v>43</v>
      </c>
      <c r="O152" t="s">
        <v>44</v>
      </c>
      <c r="P152" s="39" t="s">
        <v>317</v>
      </c>
      <c r="Q152" t="s">
        <v>102</v>
      </c>
      <c r="R152" t="s">
        <v>319</v>
      </c>
      <c r="S152" t="s">
        <v>88</v>
      </c>
      <c r="T152" t="s">
        <v>42</v>
      </c>
      <c r="U152" t="s">
        <v>42</v>
      </c>
      <c r="V152" t="s">
        <v>42</v>
      </c>
      <c r="W152" s="8" t="s">
        <v>50</v>
      </c>
      <c r="X152" t="s">
        <v>316</v>
      </c>
      <c r="Y152" s="8">
        <v>0</v>
      </c>
      <c r="Z152">
        <v>5</v>
      </c>
      <c r="AA152">
        <v>0</v>
      </c>
      <c r="AB152">
        <v>7</v>
      </c>
      <c r="AC152" s="5">
        <v>2016</v>
      </c>
      <c r="AD152" s="1">
        <v>2016</v>
      </c>
      <c r="AE152" s="6" t="s">
        <v>72</v>
      </c>
      <c r="AF152">
        <v>1</v>
      </c>
      <c r="AG152" t="s">
        <v>64</v>
      </c>
      <c r="AH152" s="1" t="s">
        <v>64</v>
      </c>
    </row>
    <row r="153" spans="1:34" ht="14.5">
      <c r="A153" t="s">
        <v>314</v>
      </c>
      <c r="B153" t="s">
        <v>315</v>
      </c>
      <c r="C153" s="24">
        <v>8</v>
      </c>
      <c r="D153" t="s">
        <v>38</v>
      </c>
      <c r="E153" t="s">
        <v>38</v>
      </c>
      <c r="F153" t="s">
        <v>39</v>
      </c>
      <c r="G153" t="s">
        <v>40</v>
      </c>
      <c r="H153" t="s">
        <v>91</v>
      </c>
      <c r="I153" t="s">
        <v>42</v>
      </c>
      <c r="J153" t="s">
        <v>42</v>
      </c>
      <c r="K153" t="s">
        <v>42</v>
      </c>
      <c r="L153" t="s">
        <v>42</v>
      </c>
      <c r="M153" s="1" t="s">
        <v>42</v>
      </c>
      <c r="N153" s="39" t="s">
        <v>57</v>
      </c>
      <c r="O153" t="s">
        <v>44</v>
      </c>
      <c r="P153" s="39" t="s">
        <v>318</v>
      </c>
      <c r="Q153" t="s">
        <v>102</v>
      </c>
      <c r="R153" t="s">
        <v>319</v>
      </c>
      <c r="S153" t="s">
        <v>88</v>
      </c>
      <c r="T153" t="s">
        <v>42</v>
      </c>
      <c r="U153" t="s">
        <v>42</v>
      </c>
      <c r="V153" t="s">
        <v>42</v>
      </c>
      <c r="W153" s="8" t="s">
        <v>50</v>
      </c>
      <c r="X153" t="s">
        <v>316</v>
      </c>
      <c r="Y153" s="8">
        <v>0</v>
      </c>
      <c r="Z153">
        <v>5</v>
      </c>
      <c r="AA153">
        <v>0</v>
      </c>
      <c r="AB153">
        <v>7</v>
      </c>
      <c r="AC153" s="5">
        <v>2016</v>
      </c>
      <c r="AD153" s="1">
        <v>2016</v>
      </c>
      <c r="AE153" s="6" t="s">
        <v>72</v>
      </c>
      <c r="AF153">
        <v>1</v>
      </c>
      <c r="AG153" t="s">
        <v>64</v>
      </c>
      <c r="AH153" s="1" t="s">
        <v>64</v>
      </c>
    </row>
    <row r="154" spans="1:34" ht="14.5">
      <c r="A154" t="s">
        <v>314</v>
      </c>
      <c r="B154" t="s">
        <v>315</v>
      </c>
      <c r="C154" s="24">
        <v>9</v>
      </c>
      <c r="D154" t="s">
        <v>38</v>
      </c>
      <c r="E154" t="s">
        <v>38</v>
      </c>
      <c r="F154" t="s">
        <v>39</v>
      </c>
      <c r="G154" t="s">
        <v>40</v>
      </c>
      <c r="H154" t="s">
        <v>91</v>
      </c>
      <c r="I154" t="s">
        <v>42</v>
      </c>
      <c r="J154" t="s">
        <v>42</v>
      </c>
      <c r="K154" t="s">
        <v>42</v>
      </c>
      <c r="L154" t="s">
        <v>42</v>
      </c>
      <c r="M154" s="1" t="s">
        <v>42</v>
      </c>
      <c r="N154" s="39" t="s">
        <v>52</v>
      </c>
      <c r="O154" t="s">
        <v>44</v>
      </c>
      <c r="P154" s="39" t="s">
        <v>52</v>
      </c>
      <c r="Q154" t="s">
        <v>320</v>
      </c>
      <c r="R154" t="s">
        <v>321</v>
      </c>
      <c r="S154" t="s">
        <v>69</v>
      </c>
      <c r="T154" t="s">
        <v>42</v>
      </c>
      <c r="U154" t="s">
        <v>42</v>
      </c>
      <c r="V154" t="s">
        <v>42</v>
      </c>
      <c r="W154" s="8" t="s">
        <v>50</v>
      </c>
      <c r="X154" t="s">
        <v>316</v>
      </c>
      <c r="Y154" s="8">
        <v>0</v>
      </c>
      <c r="Z154">
        <v>5</v>
      </c>
      <c r="AA154">
        <v>0</v>
      </c>
      <c r="AB154">
        <v>7</v>
      </c>
      <c r="AC154" s="5">
        <v>2016</v>
      </c>
      <c r="AD154" s="1">
        <v>2016</v>
      </c>
      <c r="AE154" s="6" t="s">
        <v>72</v>
      </c>
      <c r="AF154">
        <v>1</v>
      </c>
      <c r="AG154" t="s">
        <v>64</v>
      </c>
      <c r="AH154" s="1" t="s">
        <v>64</v>
      </c>
    </row>
    <row r="155" spans="1:34" ht="14.5">
      <c r="A155" t="s">
        <v>314</v>
      </c>
      <c r="B155" t="s">
        <v>315</v>
      </c>
      <c r="C155" s="24">
        <v>10</v>
      </c>
      <c r="D155" t="s">
        <v>38</v>
      </c>
      <c r="E155" t="s">
        <v>38</v>
      </c>
      <c r="F155" t="s">
        <v>39</v>
      </c>
      <c r="G155" t="s">
        <v>40</v>
      </c>
      <c r="H155" t="s">
        <v>91</v>
      </c>
      <c r="I155" t="s">
        <v>42</v>
      </c>
      <c r="J155" t="s">
        <v>42</v>
      </c>
      <c r="K155" t="s">
        <v>42</v>
      </c>
      <c r="L155" t="s">
        <v>42</v>
      </c>
      <c r="M155" s="1" t="s">
        <v>42</v>
      </c>
      <c r="N155" s="39" t="s">
        <v>43</v>
      </c>
      <c r="O155" t="s">
        <v>44</v>
      </c>
      <c r="P155" s="39" t="s">
        <v>43</v>
      </c>
      <c r="Q155" t="s">
        <v>320</v>
      </c>
      <c r="R155" t="s">
        <v>321</v>
      </c>
      <c r="S155" t="s">
        <v>136</v>
      </c>
      <c r="T155" t="s">
        <v>42</v>
      </c>
      <c r="U155" t="s">
        <v>42</v>
      </c>
      <c r="V155" t="s">
        <v>42</v>
      </c>
      <c r="W155" s="8" t="s">
        <v>50</v>
      </c>
      <c r="X155" t="s">
        <v>316</v>
      </c>
      <c r="Y155" s="8">
        <v>0</v>
      </c>
      <c r="Z155">
        <v>5</v>
      </c>
      <c r="AA155">
        <v>0</v>
      </c>
      <c r="AB155">
        <v>7</v>
      </c>
      <c r="AC155" s="5">
        <v>2016</v>
      </c>
      <c r="AD155" s="1">
        <v>2016</v>
      </c>
      <c r="AE155" s="6" t="s">
        <v>72</v>
      </c>
      <c r="AF155">
        <v>1</v>
      </c>
      <c r="AG155" t="s">
        <v>64</v>
      </c>
      <c r="AH155" s="1" t="s">
        <v>64</v>
      </c>
    </row>
    <row r="156" spans="1:34" ht="14.5">
      <c r="A156" t="s">
        <v>314</v>
      </c>
      <c r="B156" t="s">
        <v>315</v>
      </c>
      <c r="C156" s="24">
        <v>11</v>
      </c>
      <c r="D156" t="s">
        <v>38</v>
      </c>
      <c r="E156" t="s">
        <v>38</v>
      </c>
      <c r="F156" t="s">
        <v>39</v>
      </c>
      <c r="G156" t="s">
        <v>40</v>
      </c>
      <c r="H156" t="s">
        <v>91</v>
      </c>
      <c r="I156" t="s">
        <v>42</v>
      </c>
      <c r="J156" t="s">
        <v>42</v>
      </c>
      <c r="K156" t="s">
        <v>42</v>
      </c>
      <c r="L156" t="s">
        <v>42</v>
      </c>
      <c r="M156" s="1" t="s">
        <v>42</v>
      </c>
      <c r="N156" s="39" t="s">
        <v>43</v>
      </c>
      <c r="O156" t="s">
        <v>44</v>
      </c>
      <c r="P156" s="39" t="s">
        <v>317</v>
      </c>
      <c r="Q156" t="s">
        <v>320</v>
      </c>
      <c r="R156" t="s">
        <v>321</v>
      </c>
      <c r="S156" t="s">
        <v>88</v>
      </c>
      <c r="T156" t="s">
        <v>42</v>
      </c>
      <c r="U156" t="s">
        <v>42</v>
      </c>
      <c r="V156" t="s">
        <v>42</v>
      </c>
      <c r="W156" s="8" t="s">
        <v>50</v>
      </c>
      <c r="X156" t="s">
        <v>316</v>
      </c>
      <c r="Y156" s="8">
        <v>0</v>
      </c>
      <c r="Z156">
        <v>5</v>
      </c>
      <c r="AA156">
        <v>0</v>
      </c>
      <c r="AB156">
        <v>7</v>
      </c>
      <c r="AC156" s="5">
        <v>2016</v>
      </c>
      <c r="AD156" s="1">
        <v>2016</v>
      </c>
      <c r="AE156" s="6" t="s">
        <v>72</v>
      </c>
      <c r="AF156">
        <v>1</v>
      </c>
      <c r="AG156" t="s">
        <v>64</v>
      </c>
      <c r="AH156" s="1" t="s">
        <v>64</v>
      </c>
    </row>
    <row r="157" spans="1:34" ht="14.5">
      <c r="A157" t="s">
        <v>314</v>
      </c>
      <c r="B157" t="s">
        <v>315</v>
      </c>
      <c r="C157" s="24">
        <v>12</v>
      </c>
      <c r="D157" t="s">
        <v>38</v>
      </c>
      <c r="E157" t="s">
        <v>38</v>
      </c>
      <c r="F157" t="s">
        <v>39</v>
      </c>
      <c r="G157" t="s">
        <v>40</v>
      </c>
      <c r="H157" t="s">
        <v>91</v>
      </c>
      <c r="I157" t="s">
        <v>42</v>
      </c>
      <c r="J157" t="s">
        <v>42</v>
      </c>
      <c r="K157" t="s">
        <v>42</v>
      </c>
      <c r="L157" t="s">
        <v>42</v>
      </c>
      <c r="M157" s="1" t="s">
        <v>42</v>
      </c>
      <c r="N157" s="39" t="s">
        <v>57</v>
      </c>
      <c r="O157" t="s">
        <v>44</v>
      </c>
      <c r="P157" s="39" t="s">
        <v>318</v>
      </c>
      <c r="Q157" t="s">
        <v>320</v>
      </c>
      <c r="R157" t="s">
        <v>321</v>
      </c>
      <c r="S157" t="s">
        <v>88</v>
      </c>
      <c r="T157" t="s">
        <v>42</v>
      </c>
      <c r="U157" t="s">
        <v>42</v>
      </c>
      <c r="V157" t="s">
        <v>42</v>
      </c>
      <c r="W157" s="8" t="s">
        <v>50</v>
      </c>
      <c r="X157" t="s">
        <v>316</v>
      </c>
      <c r="Y157" s="8">
        <v>0</v>
      </c>
      <c r="Z157">
        <v>5</v>
      </c>
      <c r="AA157">
        <v>0</v>
      </c>
      <c r="AB157">
        <v>7</v>
      </c>
      <c r="AC157" s="5">
        <v>2016</v>
      </c>
      <c r="AD157" s="1">
        <v>2016</v>
      </c>
      <c r="AE157" s="6" t="s">
        <v>72</v>
      </c>
      <c r="AF157">
        <v>1</v>
      </c>
      <c r="AG157" t="s">
        <v>64</v>
      </c>
      <c r="AH157" s="1" t="s">
        <v>64</v>
      </c>
    </row>
    <row r="158" spans="1:34" ht="14.5">
      <c r="A158" t="s">
        <v>314</v>
      </c>
      <c r="B158" t="s">
        <v>315</v>
      </c>
      <c r="C158" s="24">
        <v>13</v>
      </c>
      <c r="D158" t="s">
        <v>38</v>
      </c>
      <c r="E158" t="s">
        <v>38</v>
      </c>
      <c r="F158" t="s">
        <v>39</v>
      </c>
      <c r="G158" t="s">
        <v>40</v>
      </c>
      <c r="H158" t="s">
        <v>41</v>
      </c>
      <c r="I158" t="s">
        <v>42</v>
      </c>
      <c r="J158" t="s">
        <v>42</v>
      </c>
      <c r="K158" t="s">
        <v>42</v>
      </c>
      <c r="L158" t="s">
        <v>42</v>
      </c>
      <c r="M158" s="1" t="s">
        <v>42</v>
      </c>
      <c r="N158" s="39" t="s">
        <v>52</v>
      </c>
      <c r="O158" t="s">
        <v>44</v>
      </c>
      <c r="P158" s="39" t="s">
        <v>322</v>
      </c>
      <c r="Q158" t="s">
        <v>323</v>
      </c>
      <c r="R158" t="s">
        <v>42</v>
      </c>
      <c r="S158" t="s">
        <v>69</v>
      </c>
      <c r="T158" t="s">
        <v>42</v>
      </c>
      <c r="U158" t="s">
        <v>42</v>
      </c>
      <c r="V158" t="s">
        <v>42</v>
      </c>
      <c r="W158" s="8" t="s">
        <v>50</v>
      </c>
      <c r="X158" t="s">
        <v>316</v>
      </c>
      <c r="Y158" s="8">
        <v>0</v>
      </c>
      <c r="Z158">
        <v>5</v>
      </c>
      <c r="AA158">
        <v>0</v>
      </c>
      <c r="AB158">
        <v>7</v>
      </c>
      <c r="AC158" s="5">
        <v>2016</v>
      </c>
      <c r="AD158" s="1">
        <v>2016</v>
      </c>
      <c r="AE158" s="6" t="s">
        <v>72</v>
      </c>
      <c r="AF158">
        <v>1</v>
      </c>
      <c r="AG158" t="s">
        <v>64</v>
      </c>
      <c r="AH158" s="1" t="s">
        <v>64</v>
      </c>
    </row>
    <row r="159" spans="1:34" ht="14.5">
      <c r="A159" t="s">
        <v>314</v>
      </c>
      <c r="B159" t="s">
        <v>315</v>
      </c>
      <c r="C159" s="24">
        <v>14</v>
      </c>
      <c r="D159" t="s">
        <v>38</v>
      </c>
      <c r="E159" t="s">
        <v>38</v>
      </c>
      <c r="F159" t="s">
        <v>39</v>
      </c>
      <c r="G159" t="s">
        <v>40</v>
      </c>
      <c r="H159" t="s">
        <v>41</v>
      </c>
      <c r="I159" t="s">
        <v>42</v>
      </c>
      <c r="J159" t="s">
        <v>42</v>
      </c>
      <c r="K159" t="s">
        <v>42</v>
      </c>
      <c r="L159" t="s">
        <v>42</v>
      </c>
      <c r="M159" s="1" t="s">
        <v>42</v>
      </c>
      <c r="N159" s="39" t="s">
        <v>269</v>
      </c>
      <c r="O159" t="s">
        <v>44</v>
      </c>
      <c r="P159" s="39" t="s">
        <v>269</v>
      </c>
      <c r="Q159" t="s">
        <v>323</v>
      </c>
      <c r="R159" t="s">
        <v>42</v>
      </c>
      <c r="S159" t="s">
        <v>324</v>
      </c>
      <c r="T159" t="s">
        <v>42</v>
      </c>
      <c r="U159" t="s">
        <v>42</v>
      </c>
      <c r="V159" t="s">
        <v>42</v>
      </c>
      <c r="W159" s="8" t="s">
        <v>50</v>
      </c>
      <c r="X159" t="s">
        <v>316</v>
      </c>
      <c r="Y159" s="8">
        <v>0</v>
      </c>
      <c r="Z159">
        <v>5</v>
      </c>
      <c r="AA159">
        <v>0</v>
      </c>
      <c r="AB159">
        <v>7</v>
      </c>
      <c r="AC159" s="5">
        <v>2016</v>
      </c>
      <c r="AD159" s="1">
        <v>2016</v>
      </c>
      <c r="AE159" s="6" t="s">
        <v>72</v>
      </c>
      <c r="AF159">
        <v>1</v>
      </c>
      <c r="AG159" t="s">
        <v>64</v>
      </c>
      <c r="AH159" s="1" t="s">
        <v>64</v>
      </c>
    </row>
    <row r="160" spans="1:34" ht="14.5">
      <c r="A160" t="s">
        <v>314</v>
      </c>
      <c r="B160" t="s">
        <v>315</v>
      </c>
      <c r="C160" s="24">
        <v>15</v>
      </c>
      <c r="D160" t="s">
        <v>38</v>
      </c>
      <c r="E160" t="s">
        <v>38</v>
      </c>
      <c r="F160" t="s">
        <v>39</v>
      </c>
      <c r="G160" t="s">
        <v>40</v>
      </c>
      <c r="H160" t="s">
        <v>41</v>
      </c>
      <c r="I160" t="s">
        <v>42</v>
      </c>
      <c r="J160" t="s">
        <v>42</v>
      </c>
      <c r="K160" t="s">
        <v>42</v>
      </c>
      <c r="L160" t="s">
        <v>42</v>
      </c>
      <c r="M160" s="1" t="s">
        <v>42</v>
      </c>
      <c r="N160" s="39" t="s">
        <v>269</v>
      </c>
      <c r="O160" t="s">
        <v>44</v>
      </c>
      <c r="P160" s="39" t="s">
        <v>325</v>
      </c>
      <c r="Q160" t="s">
        <v>323</v>
      </c>
      <c r="R160" t="s">
        <v>42</v>
      </c>
      <c r="S160" t="s">
        <v>88</v>
      </c>
      <c r="T160" t="s">
        <v>42</v>
      </c>
      <c r="U160" t="s">
        <v>42</v>
      </c>
      <c r="V160" t="s">
        <v>42</v>
      </c>
      <c r="W160" s="8" t="s">
        <v>50</v>
      </c>
      <c r="X160" t="s">
        <v>316</v>
      </c>
      <c r="Y160" s="8">
        <v>0</v>
      </c>
      <c r="Z160">
        <v>5</v>
      </c>
      <c r="AA160">
        <v>0</v>
      </c>
      <c r="AB160">
        <v>7</v>
      </c>
      <c r="AC160" s="5">
        <v>2016</v>
      </c>
      <c r="AD160" s="1">
        <v>2016</v>
      </c>
      <c r="AE160" s="6" t="s">
        <v>72</v>
      </c>
      <c r="AF160">
        <v>1</v>
      </c>
      <c r="AG160" t="s">
        <v>64</v>
      </c>
      <c r="AH160" s="1" t="s">
        <v>64</v>
      </c>
    </row>
    <row r="161" spans="1:34" s="9" customFormat="1" ht="14.5">
      <c r="A161" s="9" t="s">
        <v>314</v>
      </c>
      <c r="B161" s="9" t="s">
        <v>315</v>
      </c>
      <c r="C161" s="25">
        <v>16</v>
      </c>
      <c r="D161" s="9" t="s">
        <v>38</v>
      </c>
      <c r="E161" s="9" t="s">
        <v>38</v>
      </c>
      <c r="F161" s="9" t="s">
        <v>39</v>
      </c>
      <c r="G161" s="9" t="s">
        <v>40</v>
      </c>
      <c r="H161" s="9" t="s">
        <v>41</v>
      </c>
      <c r="I161" s="9" t="s">
        <v>42</v>
      </c>
      <c r="J161" s="9" t="s">
        <v>42</v>
      </c>
      <c r="K161" s="9" t="s">
        <v>42</v>
      </c>
      <c r="L161" s="9" t="s">
        <v>42</v>
      </c>
      <c r="M161" s="10" t="s">
        <v>42</v>
      </c>
      <c r="N161" s="40" t="s">
        <v>79</v>
      </c>
      <c r="O161" s="9" t="s">
        <v>44</v>
      </c>
      <c r="P161" s="40" t="s">
        <v>79</v>
      </c>
      <c r="Q161" s="9" t="s">
        <v>323</v>
      </c>
      <c r="R161" s="9" t="s">
        <v>42</v>
      </c>
      <c r="S161" s="9" t="s">
        <v>189</v>
      </c>
      <c r="T161" s="9" t="s">
        <v>42</v>
      </c>
      <c r="U161" s="9" t="s">
        <v>42</v>
      </c>
      <c r="V161" s="9" t="s">
        <v>42</v>
      </c>
      <c r="W161" s="11" t="s">
        <v>50</v>
      </c>
      <c r="X161" s="9" t="s">
        <v>316</v>
      </c>
      <c r="Y161" s="11">
        <v>0</v>
      </c>
      <c r="Z161" s="9">
        <v>5</v>
      </c>
      <c r="AA161" s="9">
        <v>0</v>
      </c>
      <c r="AB161" s="9">
        <v>7</v>
      </c>
      <c r="AC161" s="12">
        <v>2016</v>
      </c>
      <c r="AD161" s="10">
        <v>2016</v>
      </c>
      <c r="AE161" s="13" t="s">
        <v>72</v>
      </c>
      <c r="AF161" s="9">
        <v>1</v>
      </c>
      <c r="AG161" s="9" t="s">
        <v>64</v>
      </c>
      <c r="AH161" s="10" t="s">
        <v>64</v>
      </c>
    </row>
    <row r="162" spans="1:34" ht="14.5">
      <c r="A162" t="s">
        <v>326</v>
      </c>
      <c r="B162" t="s">
        <v>327</v>
      </c>
      <c r="C162" s="24">
        <v>1</v>
      </c>
      <c r="D162" t="s">
        <v>38</v>
      </c>
      <c r="E162" t="s">
        <v>38</v>
      </c>
      <c r="F162" t="s">
        <v>39</v>
      </c>
      <c r="G162" t="s">
        <v>40</v>
      </c>
      <c r="H162" t="s">
        <v>41</v>
      </c>
      <c r="I162" t="s">
        <v>42</v>
      </c>
      <c r="J162" t="s">
        <v>42</v>
      </c>
      <c r="K162" t="s">
        <v>42</v>
      </c>
      <c r="L162" t="s">
        <v>42</v>
      </c>
      <c r="M162" s="1" t="s">
        <v>42</v>
      </c>
      <c r="N162" s="39" t="s">
        <v>52</v>
      </c>
      <c r="O162" t="s">
        <v>86</v>
      </c>
      <c r="P162" s="39" t="s">
        <v>52</v>
      </c>
      <c r="Q162" t="s">
        <v>328</v>
      </c>
      <c r="R162" t="s">
        <v>329</v>
      </c>
      <c r="S162" t="s">
        <v>69</v>
      </c>
      <c r="T162" t="s">
        <v>42</v>
      </c>
      <c r="U162" t="s">
        <v>42</v>
      </c>
      <c r="V162" t="s">
        <v>42</v>
      </c>
      <c r="W162" s="8" t="s">
        <v>64</v>
      </c>
      <c r="X162" t="s">
        <v>42</v>
      </c>
      <c r="Y162" s="8">
        <v>1</v>
      </c>
      <c r="Z162">
        <v>3</v>
      </c>
      <c r="AA162">
        <v>0</v>
      </c>
      <c r="AB162">
        <v>0</v>
      </c>
      <c r="AC162" s="5">
        <v>1994</v>
      </c>
      <c r="AD162">
        <v>1994</v>
      </c>
      <c r="AE162" s="6" t="s">
        <v>72</v>
      </c>
      <c r="AF162">
        <v>1</v>
      </c>
      <c r="AG162" t="s">
        <v>64</v>
      </c>
      <c r="AH162" s="1" t="s">
        <v>64</v>
      </c>
    </row>
    <row r="163" spans="1:34" ht="14.5">
      <c r="A163" t="s">
        <v>326</v>
      </c>
      <c r="B163" t="s">
        <v>327</v>
      </c>
      <c r="C163" s="24">
        <v>2</v>
      </c>
      <c r="D163" t="s">
        <v>38</v>
      </c>
      <c r="E163" t="s">
        <v>38</v>
      </c>
      <c r="F163" t="s">
        <v>39</v>
      </c>
      <c r="G163" t="s">
        <v>40</v>
      </c>
      <c r="H163" t="s">
        <v>91</v>
      </c>
      <c r="I163" t="s">
        <v>92</v>
      </c>
      <c r="J163" t="s">
        <v>42</v>
      </c>
      <c r="K163" t="s">
        <v>42</v>
      </c>
      <c r="L163" t="s">
        <v>42</v>
      </c>
      <c r="M163" s="1" t="s">
        <v>42</v>
      </c>
      <c r="N163" s="39" t="s">
        <v>57</v>
      </c>
      <c r="O163" t="s">
        <v>86</v>
      </c>
      <c r="P163" s="39" t="s">
        <v>330</v>
      </c>
      <c r="Q163" t="s">
        <v>328</v>
      </c>
      <c r="R163" t="s">
        <v>329</v>
      </c>
      <c r="S163" t="s">
        <v>331</v>
      </c>
      <c r="T163" t="s">
        <v>42</v>
      </c>
      <c r="U163" t="s">
        <v>42</v>
      </c>
      <c r="V163" t="s">
        <v>42</v>
      </c>
      <c r="W163" s="8" t="s">
        <v>64</v>
      </c>
      <c r="X163" t="s">
        <v>42</v>
      </c>
      <c r="Y163" s="8">
        <v>1</v>
      </c>
      <c r="Z163">
        <v>3</v>
      </c>
      <c r="AA163">
        <v>0</v>
      </c>
      <c r="AB163">
        <v>0</v>
      </c>
      <c r="AC163">
        <v>1994</v>
      </c>
      <c r="AD163">
        <v>1994</v>
      </c>
      <c r="AE163" s="6" t="s">
        <v>72</v>
      </c>
      <c r="AF163">
        <v>1</v>
      </c>
      <c r="AG163" t="s">
        <v>64</v>
      </c>
      <c r="AH163" s="1" t="s">
        <v>64</v>
      </c>
    </row>
    <row r="164" spans="1:34" ht="14.5">
      <c r="A164" t="s">
        <v>326</v>
      </c>
      <c r="B164" t="s">
        <v>327</v>
      </c>
      <c r="C164" s="24">
        <v>3</v>
      </c>
      <c r="D164" t="s">
        <v>38</v>
      </c>
      <c r="E164" t="s">
        <v>38</v>
      </c>
      <c r="F164" t="s">
        <v>39</v>
      </c>
      <c r="G164" t="s">
        <v>40</v>
      </c>
      <c r="H164" t="s">
        <v>91</v>
      </c>
      <c r="I164" t="s">
        <v>92</v>
      </c>
      <c r="J164" t="s">
        <v>42</v>
      </c>
      <c r="K164" t="s">
        <v>42</v>
      </c>
      <c r="L164" t="s">
        <v>42</v>
      </c>
      <c r="M164" s="1" t="s">
        <v>42</v>
      </c>
      <c r="N164" s="39" t="s">
        <v>43</v>
      </c>
      <c r="O164" t="s">
        <v>86</v>
      </c>
      <c r="P164" s="39" t="s">
        <v>43</v>
      </c>
      <c r="Q164" t="s">
        <v>328</v>
      </c>
      <c r="R164" t="s">
        <v>329</v>
      </c>
      <c r="S164" t="s">
        <v>136</v>
      </c>
      <c r="T164" t="s">
        <v>42</v>
      </c>
      <c r="U164" t="s">
        <v>42</v>
      </c>
      <c r="V164" t="s">
        <v>42</v>
      </c>
      <c r="W164" s="8" t="s">
        <v>64</v>
      </c>
      <c r="X164" t="s">
        <v>42</v>
      </c>
      <c r="Y164" s="8">
        <v>1</v>
      </c>
      <c r="Z164">
        <v>3</v>
      </c>
      <c r="AA164">
        <v>0</v>
      </c>
      <c r="AB164">
        <v>0</v>
      </c>
      <c r="AC164">
        <v>1994</v>
      </c>
      <c r="AD164">
        <v>1994</v>
      </c>
      <c r="AE164" s="6" t="s">
        <v>72</v>
      </c>
      <c r="AF164">
        <v>1</v>
      </c>
      <c r="AG164" t="s">
        <v>64</v>
      </c>
      <c r="AH164" s="1" t="s">
        <v>64</v>
      </c>
    </row>
    <row r="165" spans="1:34" s="9" customFormat="1" ht="14.5">
      <c r="A165" s="9" t="s">
        <v>326</v>
      </c>
      <c r="B165" s="9" t="s">
        <v>327</v>
      </c>
      <c r="C165" s="25">
        <v>4</v>
      </c>
      <c r="D165" s="9" t="s">
        <v>38</v>
      </c>
      <c r="E165" s="9" t="s">
        <v>38</v>
      </c>
      <c r="F165" s="9" t="s">
        <v>39</v>
      </c>
      <c r="G165" s="9" t="s">
        <v>40</v>
      </c>
      <c r="H165" s="9" t="s">
        <v>91</v>
      </c>
      <c r="I165" s="9" t="s">
        <v>92</v>
      </c>
      <c r="J165" s="9" t="s">
        <v>42</v>
      </c>
      <c r="K165" s="9" t="s">
        <v>42</v>
      </c>
      <c r="L165" s="9" t="s">
        <v>42</v>
      </c>
      <c r="M165" s="10" t="s">
        <v>42</v>
      </c>
      <c r="N165" s="40" t="s">
        <v>99</v>
      </c>
      <c r="O165" s="9" t="s">
        <v>86</v>
      </c>
      <c r="P165" s="40" t="s">
        <v>332</v>
      </c>
      <c r="Q165" s="9" t="s">
        <v>328</v>
      </c>
      <c r="R165" s="9" t="s">
        <v>329</v>
      </c>
      <c r="S165" s="9" t="s">
        <v>88</v>
      </c>
      <c r="T165" s="9" t="s">
        <v>42</v>
      </c>
      <c r="U165" s="9" t="s">
        <v>42</v>
      </c>
      <c r="V165" s="9" t="s">
        <v>42</v>
      </c>
      <c r="W165" s="11" t="s">
        <v>64</v>
      </c>
      <c r="X165" s="9" t="s">
        <v>42</v>
      </c>
      <c r="Y165" s="11">
        <v>1</v>
      </c>
      <c r="Z165" s="9">
        <v>3</v>
      </c>
      <c r="AA165" s="9">
        <v>0</v>
      </c>
      <c r="AB165" s="9">
        <v>0</v>
      </c>
      <c r="AC165" s="9">
        <v>1994</v>
      </c>
      <c r="AD165" s="9">
        <v>1994</v>
      </c>
      <c r="AE165" s="13" t="s">
        <v>72</v>
      </c>
      <c r="AF165" s="9">
        <v>1</v>
      </c>
      <c r="AG165" s="9" t="s">
        <v>64</v>
      </c>
      <c r="AH165" s="10" t="s">
        <v>64</v>
      </c>
    </row>
    <row r="166" spans="1:34" ht="14.5">
      <c r="A166" t="s">
        <v>333</v>
      </c>
      <c r="B166" t="s">
        <v>334</v>
      </c>
      <c r="C166" s="24">
        <v>1</v>
      </c>
      <c r="D166" t="s">
        <v>38</v>
      </c>
      <c r="E166" t="s">
        <v>38</v>
      </c>
      <c r="F166" t="s">
        <v>39</v>
      </c>
      <c r="G166" t="s">
        <v>40</v>
      </c>
      <c r="H166" t="s">
        <v>41</v>
      </c>
      <c r="I166" t="s">
        <v>42</v>
      </c>
      <c r="J166" t="s">
        <v>42</v>
      </c>
      <c r="K166" t="s">
        <v>42</v>
      </c>
      <c r="L166" t="s">
        <v>42</v>
      </c>
      <c r="M166" t="s">
        <v>42</v>
      </c>
      <c r="N166" s="39" t="s">
        <v>52</v>
      </c>
      <c r="O166" t="s">
        <v>44</v>
      </c>
      <c r="P166" s="39" t="s">
        <v>52</v>
      </c>
      <c r="Q166" t="s">
        <v>108</v>
      </c>
      <c r="R166" t="s">
        <v>109</v>
      </c>
      <c r="S166" t="s">
        <v>69</v>
      </c>
      <c r="T166" t="s">
        <v>42</v>
      </c>
      <c r="U166" t="s">
        <v>42</v>
      </c>
      <c r="V166" t="s">
        <v>42</v>
      </c>
      <c r="W166" s="8" t="s">
        <v>50</v>
      </c>
      <c r="X166" t="s">
        <v>335</v>
      </c>
      <c r="Y166" s="8">
        <v>1</v>
      </c>
      <c r="Z166">
        <v>1</v>
      </c>
      <c r="AA166">
        <v>0</v>
      </c>
      <c r="AB166">
        <v>0</v>
      </c>
      <c r="AC166" s="5">
        <v>1980</v>
      </c>
      <c r="AD166" s="1">
        <v>1984</v>
      </c>
      <c r="AE166" s="6">
        <f>AD166-AC166</f>
        <v>4</v>
      </c>
      <c r="AF166">
        <v>5</v>
      </c>
      <c r="AG166" t="s">
        <v>64</v>
      </c>
      <c r="AH166" s="1" t="s">
        <v>64</v>
      </c>
    </row>
    <row r="167" spans="1:34" ht="14.5">
      <c r="A167" t="s">
        <v>333</v>
      </c>
      <c r="B167" t="s">
        <v>334</v>
      </c>
      <c r="C167" s="24">
        <v>2</v>
      </c>
      <c r="D167" t="s">
        <v>38</v>
      </c>
      <c r="E167" t="s">
        <v>38</v>
      </c>
      <c r="F167" t="s">
        <v>39</v>
      </c>
      <c r="G167" t="s">
        <v>40</v>
      </c>
      <c r="H167" t="s">
        <v>41</v>
      </c>
      <c r="I167" t="s">
        <v>336</v>
      </c>
      <c r="J167" t="s">
        <v>42</v>
      </c>
      <c r="K167" t="s">
        <v>42</v>
      </c>
      <c r="L167" t="s">
        <v>42</v>
      </c>
      <c r="M167" t="s">
        <v>42</v>
      </c>
      <c r="N167" s="39" t="s">
        <v>43</v>
      </c>
      <c r="O167" t="s">
        <v>86</v>
      </c>
      <c r="P167" s="39" t="s">
        <v>43</v>
      </c>
      <c r="Q167" t="s">
        <v>108</v>
      </c>
      <c r="R167" t="s">
        <v>109</v>
      </c>
      <c r="S167" t="s">
        <v>136</v>
      </c>
      <c r="T167" t="s">
        <v>42</v>
      </c>
      <c r="U167" t="s">
        <v>42</v>
      </c>
      <c r="V167" t="s">
        <v>42</v>
      </c>
      <c r="W167" s="8" t="s">
        <v>64</v>
      </c>
      <c r="X167" t="s">
        <v>42</v>
      </c>
      <c r="Y167" s="8">
        <v>1</v>
      </c>
      <c r="Z167">
        <v>1</v>
      </c>
      <c r="AA167">
        <v>0</v>
      </c>
      <c r="AB167">
        <v>0</v>
      </c>
      <c r="AC167" s="5">
        <v>1981</v>
      </c>
      <c r="AD167" s="1">
        <v>1983</v>
      </c>
      <c r="AE167" s="6">
        <f>AD167-AC167</f>
        <v>2</v>
      </c>
      <c r="AF167">
        <v>3</v>
      </c>
      <c r="AG167" t="s">
        <v>64</v>
      </c>
      <c r="AH167" s="1" t="s">
        <v>64</v>
      </c>
    </row>
    <row r="168" spans="1:34" ht="14.5">
      <c r="A168" t="s">
        <v>333</v>
      </c>
      <c r="B168" t="s">
        <v>334</v>
      </c>
      <c r="C168" s="24">
        <v>3</v>
      </c>
      <c r="D168" t="s">
        <v>38</v>
      </c>
      <c r="E168" t="s">
        <v>38</v>
      </c>
      <c r="F168" t="s">
        <v>39</v>
      </c>
      <c r="G168" t="s">
        <v>40</v>
      </c>
      <c r="H168" t="s">
        <v>41</v>
      </c>
      <c r="I168" t="s">
        <v>42</v>
      </c>
      <c r="J168" t="s">
        <v>42</v>
      </c>
      <c r="K168" t="s">
        <v>42</v>
      </c>
      <c r="L168" t="s">
        <v>42</v>
      </c>
      <c r="M168" t="s">
        <v>42</v>
      </c>
      <c r="N168" s="39" t="s">
        <v>52</v>
      </c>
      <c r="O168" t="s">
        <v>86</v>
      </c>
      <c r="P168" s="39" t="s">
        <v>337</v>
      </c>
      <c r="Q168" t="s">
        <v>161</v>
      </c>
      <c r="R168" s="2" t="s">
        <v>338</v>
      </c>
      <c r="S168" t="s">
        <v>88</v>
      </c>
      <c r="T168" t="s">
        <v>265</v>
      </c>
      <c r="U168" t="s">
        <v>42</v>
      </c>
      <c r="V168" t="s">
        <v>42</v>
      </c>
      <c r="W168" s="8" t="s">
        <v>64</v>
      </c>
      <c r="X168" t="s">
        <v>42</v>
      </c>
      <c r="Y168" s="8">
        <v>1</v>
      </c>
      <c r="Z168">
        <v>1</v>
      </c>
      <c r="AA168">
        <v>0</v>
      </c>
      <c r="AB168">
        <v>0</v>
      </c>
      <c r="AC168" s="5">
        <v>1982</v>
      </c>
      <c r="AD168" s="1">
        <v>1983</v>
      </c>
      <c r="AE168" s="6">
        <f>AD168-AC168</f>
        <v>1</v>
      </c>
      <c r="AF168">
        <v>16</v>
      </c>
      <c r="AG168" t="s">
        <v>64</v>
      </c>
      <c r="AH168" s="1" t="s">
        <v>64</v>
      </c>
    </row>
    <row r="169" spans="1:34" ht="14.5">
      <c r="A169" t="s">
        <v>333</v>
      </c>
      <c r="B169" t="s">
        <v>334</v>
      </c>
      <c r="C169" s="24">
        <v>4</v>
      </c>
      <c r="D169" t="s">
        <v>38</v>
      </c>
      <c r="E169" t="s">
        <v>38</v>
      </c>
      <c r="F169" t="s">
        <v>39</v>
      </c>
      <c r="G169" t="s">
        <v>40</v>
      </c>
      <c r="H169" t="s">
        <v>339</v>
      </c>
      <c r="I169" t="s">
        <v>42</v>
      </c>
      <c r="J169" t="s">
        <v>42</v>
      </c>
      <c r="K169" t="s">
        <v>42</v>
      </c>
      <c r="L169" t="s">
        <v>42</v>
      </c>
      <c r="M169" t="s">
        <v>42</v>
      </c>
      <c r="N169" s="39" t="s">
        <v>132</v>
      </c>
      <c r="O169" t="s">
        <v>44</v>
      </c>
      <c r="P169" s="39" t="s">
        <v>340</v>
      </c>
      <c r="Q169" t="s">
        <v>161</v>
      </c>
      <c r="R169" s="2" t="s">
        <v>162</v>
      </c>
      <c r="S169" t="s">
        <v>341</v>
      </c>
      <c r="T169" t="s">
        <v>342</v>
      </c>
      <c r="U169" t="s">
        <v>42</v>
      </c>
      <c r="V169" t="s">
        <v>42</v>
      </c>
      <c r="W169" s="8" t="s">
        <v>50</v>
      </c>
      <c r="X169" t="s">
        <v>343</v>
      </c>
      <c r="Y169" s="8">
        <v>1</v>
      </c>
      <c r="Z169">
        <v>1</v>
      </c>
      <c r="AA169">
        <v>0</v>
      </c>
      <c r="AB169">
        <v>0</v>
      </c>
      <c r="AC169" s="5">
        <v>1978</v>
      </c>
      <c r="AD169" s="1">
        <v>1983</v>
      </c>
      <c r="AE169" s="6">
        <f>AD169-AC169</f>
        <v>5</v>
      </c>
      <c r="AF169">
        <v>3</v>
      </c>
      <c r="AG169" t="s">
        <v>50</v>
      </c>
      <c r="AH169" s="1" t="s">
        <v>50</v>
      </c>
    </row>
    <row r="170" spans="1:34" s="9" customFormat="1" ht="14.5">
      <c r="A170" s="9" t="s">
        <v>333</v>
      </c>
      <c r="B170" s="9" t="s">
        <v>334</v>
      </c>
      <c r="C170" s="25">
        <v>5</v>
      </c>
      <c r="D170" s="9" t="s">
        <v>38</v>
      </c>
      <c r="E170" s="9" t="s">
        <v>38</v>
      </c>
      <c r="F170" s="9" t="s">
        <v>39</v>
      </c>
      <c r="G170" s="9" t="s">
        <v>40</v>
      </c>
      <c r="H170" s="9" t="s">
        <v>41</v>
      </c>
      <c r="I170" s="9" t="s">
        <v>42</v>
      </c>
      <c r="J170" s="9" t="s">
        <v>42</v>
      </c>
      <c r="K170" s="9" t="s">
        <v>42</v>
      </c>
      <c r="L170" s="9" t="s">
        <v>42</v>
      </c>
      <c r="M170" s="9" t="s">
        <v>42</v>
      </c>
      <c r="N170" s="40" t="s">
        <v>52</v>
      </c>
      <c r="O170" s="9" t="s">
        <v>86</v>
      </c>
      <c r="P170" s="40" t="s">
        <v>337</v>
      </c>
      <c r="Q170" s="9" t="s">
        <v>134</v>
      </c>
      <c r="R170" s="9" t="s">
        <v>344</v>
      </c>
      <c r="S170" s="9" t="s">
        <v>88</v>
      </c>
      <c r="T170" s="9" t="s">
        <v>42</v>
      </c>
      <c r="U170" s="9" t="s">
        <v>42</v>
      </c>
      <c r="V170" s="9" t="s">
        <v>42</v>
      </c>
      <c r="W170" s="11" t="s">
        <v>64</v>
      </c>
      <c r="X170" s="9" t="s">
        <v>42</v>
      </c>
      <c r="Y170" s="11">
        <v>1</v>
      </c>
      <c r="Z170" s="9">
        <v>1</v>
      </c>
      <c r="AA170" s="9">
        <v>0</v>
      </c>
      <c r="AB170" s="9">
        <v>0</v>
      </c>
      <c r="AC170" s="12">
        <v>1978</v>
      </c>
      <c r="AD170" s="10">
        <v>1983</v>
      </c>
      <c r="AE170" s="13">
        <f>AD170-AC170</f>
        <v>5</v>
      </c>
      <c r="AF170" s="9">
        <v>6</v>
      </c>
      <c r="AG170" s="9" t="s">
        <v>50</v>
      </c>
      <c r="AH170" s="10" t="s">
        <v>50</v>
      </c>
    </row>
    <row r="171" spans="1:34" ht="14.5">
      <c r="A171" t="s">
        <v>345</v>
      </c>
      <c r="B171" t="s">
        <v>346</v>
      </c>
      <c r="C171" s="24">
        <v>1</v>
      </c>
      <c r="D171" t="s">
        <v>38</v>
      </c>
      <c r="E171" t="s">
        <v>38</v>
      </c>
      <c r="F171" t="s">
        <v>39</v>
      </c>
      <c r="G171" t="s">
        <v>40</v>
      </c>
      <c r="H171" t="s">
        <v>41</v>
      </c>
      <c r="I171" t="s">
        <v>42</v>
      </c>
      <c r="J171" t="s">
        <v>42</v>
      </c>
      <c r="K171" t="s">
        <v>42</v>
      </c>
      <c r="L171" t="s">
        <v>42</v>
      </c>
      <c r="M171" t="s">
        <v>42</v>
      </c>
      <c r="N171" s="39" t="s">
        <v>52</v>
      </c>
      <c r="O171" t="s">
        <v>44</v>
      </c>
      <c r="P171" s="39" t="s">
        <v>52</v>
      </c>
      <c r="Q171" t="s">
        <v>46</v>
      </c>
      <c r="R171" t="s">
        <v>68</v>
      </c>
      <c r="S171" t="s">
        <v>69</v>
      </c>
      <c r="T171" t="s">
        <v>84</v>
      </c>
      <c r="U171" t="s">
        <v>42</v>
      </c>
      <c r="V171" t="s">
        <v>42</v>
      </c>
      <c r="W171" s="8" t="s">
        <v>50</v>
      </c>
      <c r="X171" t="s">
        <v>347</v>
      </c>
      <c r="Y171" s="8">
        <v>2</v>
      </c>
      <c r="Z171">
        <v>0</v>
      </c>
      <c r="AA171">
        <v>7</v>
      </c>
      <c r="AB171">
        <v>0</v>
      </c>
      <c r="AC171" s="5">
        <v>2018</v>
      </c>
      <c r="AD171" s="1">
        <v>2018</v>
      </c>
      <c r="AE171" s="6" t="s">
        <v>72</v>
      </c>
      <c r="AF171">
        <v>1</v>
      </c>
      <c r="AG171" t="s">
        <v>64</v>
      </c>
      <c r="AH171" s="1" t="s">
        <v>64</v>
      </c>
    </row>
    <row r="172" spans="1:34" ht="14.5">
      <c r="A172" t="s">
        <v>345</v>
      </c>
      <c r="B172" t="s">
        <v>346</v>
      </c>
      <c r="C172" s="24">
        <v>2</v>
      </c>
      <c r="D172" t="s">
        <v>38</v>
      </c>
      <c r="E172" t="s">
        <v>38</v>
      </c>
      <c r="F172" t="s">
        <v>39</v>
      </c>
      <c r="G172" t="s">
        <v>40</v>
      </c>
      <c r="H172" t="s">
        <v>41</v>
      </c>
      <c r="I172" t="s">
        <v>42</v>
      </c>
      <c r="J172" t="s">
        <v>42</v>
      </c>
      <c r="K172" t="s">
        <v>42</v>
      </c>
      <c r="L172" t="s">
        <v>42</v>
      </c>
      <c r="M172" t="s">
        <v>42</v>
      </c>
      <c r="N172" s="39" t="s">
        <v>43</v>
      </c>
      <c r="O172" t="s">
        <v>44</v>
      </c>
      <c r="P172" s="39" t="s">
        <v>73</v>
      </c>
      <c r="Q172" t="s">
        <v>46</v>
      </c>
      <c r="R172" t="s">
        <v>68</v>
      </c>
      <c r="S172" t="s">
        <v>48</v>
      </c>
      <c r="T172" t="s">
        <v>42</v>
      </c>
      <c r="U172" t="s">
        <v>42</v>
      </c>
      <c r="V172" t="s">
        <v>42</v>
      </c>
      <c r="W172" s="8" t="s">
        <v>50</v>
      </c>
      <c r="X172" t="s">
        <v>347</v>
      </c>
      <c r="Y172" s="8">
        <v>2</v>
      </c>
      <c r="Z172">
        <v>0</v>
      </c>
      <c r="AA172">
        <v>7</v>
      </c>
      <c r="AB172">
        <v>0</v>
      </c>
      <c r="AC172" s="5">
        <v>2018</v>
      </c>
      <c r="AD172" s="1">
        <v>2018</v>
      </c>
      <c r="AE172" s="6" t="s">
        <v>72</v>
      </c>
      <c r="AF172">
        <v>1</v>
      </c>
      <c r="AG172" t="s">
        <v>64</v>
      </c>
      <c r="AH172" s="1" t="s">
        <v>64</v>
      </c>
    </row>
    <row r="173" spans="1:34" ht="14.5">
      <c r="A173" t="s">
        <v>345</v>
      </c>
      <c r="B173" t="s">
        <v>346</v>
      </c>
      <c r="C173" s="24">
        <v>3</v>
      </c>
      <c r="D173" t="s">
        <v>38</v>
      </c>
      <c r="E173" t="s">
        <v>38</v>
      </c>
      <c r="F173" t="s">
        <v>39</v>
      </c>
      <c r="G173" t="s">
        <v>40</v>
      </c>
      <c r="H173" t="s">
        <v>41</v>
      </c>
      <c r="I173" t="s">
        <v>42</v>
      </c>
      <c r="J173" t="s">
        <v>42</v>
      </c>
      <c r="K173" t="s">
        <v>42</v>
      </c>
      <c r="L173" t="s">
        <v>42</v>
      </c>
      <c r="M173" t="s">
        <v>42</v>
      </c>
      <c r="N173" s="39" t="s">
        <v>43</v>
      </c>
      <c r="O173" t="s">
        <v>44</v>
      </c>
      <c r="P173" s="39" t="s">
        <v>348</v>
      </c>
      <c r="Q173" t="s">
        <v>46</v>
      </c>
      <c r="R173" t="s">
        <v>68</v>
      </c>
      <c r="S173" t="s">
        <v>349</v>
      </c>
      <c r="T173" t="s">
        <v>42</v>
      </c>
      <c r="U173" t="s">
        <v>42</v>
      </c>
      <c r="V173" t="s">
        <v>42</v>
      </c>
      <c r="W173" s="8" t="s">
        <v>50</v>
      </c>
      <c r="X173" t="s">
        <v>347</v>
      </c>
      <c r="Y173" s="8">
        <v>2</v>
      </c>
      <c r="Z173">
        <v>0</v>
      </c>
      <c r="AA173">
        <v>7</v>
      </c>
      <c r="AB173">
        <v>0</v>
      </c>
      <c r="AC173" s="5">
        <v>2018</v>
      </c>
      <c r="AD173" s="1">
        <v>2018</v>
      </c>
      <c r="AE173" s="6" t="s">
        <v>72</v>
      </c>
      <c r="AF173">
        <v>1</v>
      </c>
      <c r="AG173" t="s">
        <v>64</v>
      </c>
      <c r="AH173" s="1" t="s">
        <v>64</v>
      </c>
    </row>
    <row r="174" spans="1:34" s="9" customFormat="1" ht="14.5">
      <c r="A174" s="9" t="s">
        <v>345</v>
      </c>
      <c r="B174" s="9" t="s">
        <v>346</v>
      </c>
      <c r="C174" s="25">
        <v>4</v>
      </c>
      <c r="D174" s="9" t="s">
        <v>38</v>
      </c>
      <c r="E174" s="9" t="s">
        <v>38</v>
      </c>
      <c r="F174" s="9" t="s">
        <v>39</v>
      </c>
      <c r="G174" s="9" t="s">
        <v>40</v>
      </c>
      <c r="H174" s="9" t="s">
        <v>41</v>
      </c>
      <c r="I174" s="9" t="s">
        <v>42</v>
      </c>
      <c r="J174" s="9" t="s">
        <v>42</v>
      </c>
      <c r="K174" s="9" t="s">
        <v>42</v>
      </c>
      <c r="L174" s="9" t="s">
        <v>42</v>
      </c>
      <c r="M174" s="9" t="s">
        <v>42</v>
      </c>
      <c r="N174" s="40" t="s">
        <v>43</v>
      </c>
      <c r="O174" s="9" t="s">
        <v>44</v>
      </c>
      <c r="P174" s="40" t="s">
        <v>350</v>
      </c>
      <c r="Q174" s="9" t="s">
        <v>46</v>
      </c>
      <c r="R174" s="9" t="s">
        <v>68</v>
      </c>
      <c r="S174" s="9" t="s">
        <v>48</v>
      </c>
      <c r="T174" s="9" t="s">
        <v>42</v>
      </c>
      <c r="U174" s="9" t="s">
        <v>42</v>
      </c>
      <c r="V174" s="9" t="s">
        <v>42</v>
      </c>
      <c r="W174" s="11" t="s">
        <v>50</v>
      </c>
      <c r="X174" s="9" t="s">
        <v>347</v>
      </c>
      <c r="Y174" s="11">
        <v>2</v>
      </c>
      <c r="Z174" s="9">
        <v>0</v>
      </c>
      <c r="AA174" s="9">
        <v>7</v>
      </c>
      <c r="AB174" s="9">
        <v>0</v>
      </c>
      <c r="AC174" s="12">
        <v>2018</v>
      </c>
      <c r="AD174" s="10">
        <v>2018</v>
      </c>
      <c r="AE174" s="13" t="s">
        <v>72</v>
      </c>
      <c r="AF174" s="9">
        <v>1</v>
      </c>
      <c r="AG174" s="9" t="s">
        <v>64</v>
      </c>
      <c r="AH174" s="10" t="s">
        <v>64</v>
      </c>
    </row>
    <row r="175" spans="1:34" ht="14.5">
      <c r="A175" t="s">
        <v>351</v>
      </c>
      <c r="B175" t="s">
        <v>352</v>
      </c>
      <c r="C175" s="24">
        <v>1</v>
      </c>
      <c r="D175" t="s">
        <v>38</v>
      </c>
      <c r="E175" t="s">
        <v>38</v>
      </c>
      <c r="F175" t="s">
        <v>123</v>
      </c>
      <c r="G175" t="s">
        <v>40</v>
      </c>
      <c r="H175" t="s">
        <v>41</v>
      </c>
      <c r="I175" t="s">
        <v>42</v>
      </c>
      <c r="J175" t="s">
        <v>42</v>
      </c>
      <c r="K175" t="s">
        <v>353</v>
      </c>
      <c r="L175" t="s">
        <v>42</v>
      </c>
      <c r="M175" t="s">
        <v>42</v>
      </c>
      <c r="N175" s="39" t="s">
        <v>52</v>
      </c>
      <c r="O175" t="s">
        <v>86</v>
      </c>
      <c r="P175" s="39" t="s">
        <v>52</v>
      </c>
      <c r="Q175" t="s">
        <v>94</v>
      </c>
      <c r="R175" t="s">
        <v>354</v>
      </c>
      <c r="S175" t="s">
        <v>69</v>
      </c>
      <c r="T175" t="s">
        <v>342</v>
      </c>
      <c r="U175" t="s">
        <v>42</v>
      </c>
      <c r="V175" t="s">
        <v>42</v>
      </c>
      <c r="W175" s="8" t="s">
        <v>64</v>
      </c>
      <c r="X175" t="s">
        <v>42</v>
      </c>
      <c r="Y175" s="8">
        <v>1</v>
      </c>
      <c r="Z175">
        <v>0</v>
      </c>
      <c r="AA175">
        <v>0</v>
      </c>
      <c r="AB175">
        <v>0</v>
      </c>
      <c r="AC175" s="5">
        <v>1978</v>
      </c>
      <c r="AD175" s="1">
        <v>1993</v>
      </c>
      <c r="AE175" s="6">
        <f>AD175-AC175</f>
        <v>15</v>
      </c>
      <c r="AF175">
        <v>14</v>
      </c>
      <c r="AG175" t="s">
        <v>50</v>
      </c>
      <c r="AH175" s="1" t="s">
        <v>64</v>
      </c>
    </row>
    <row r="176" spans="1:34" ht="14.5">
      <c r="A176" t="s">
        <v>351</v>
      </c>
      <c r="B176" t="s">
        <v>352</v>
      </c>
      <c r="C176" s="24">
        <v>2</v>
      </c>
      <c r="D176" t="s">
        <v>38</v>
      </c>
      <c r="E176" t="s">
        <v>38</v>
      </c>
      <c r="F176" t="s">
        <v>39</v>
      </c>
      <c r="G176" t="s">
        <v>40</v>
      </c>
      <c r="H176" t="s">
        <v>41</v>
      </c>
      <c r="I176" t="s">
        <v>42</v>
      </c>
      <c r="J176" t="s">
        <v>42</v>
      </c>
      <c r="K176" t="s">
        <v>42</v>
      </c>
      <c r="L176" t="s">
        <v>42</v>
      </c>
      <c r="M176" t="s">
        <v>42</v>
      </c>
      <c r="N176" s="39" t="s">
        <v>43</v>
      </c>
      <c r="O176" t="s">
        <v>86</v>
      </c>
      <c r="P176" s="39" t="s">
        <v>43</v>
      </c>
      <c r="Q176" t="s">
        <v>94</v>
      </c>
      <c r="R176" t="s">
        <v>354</v>
      </c>
      <c r="S176" t="s">
        <v>136</v>
      </c>
      <c r="T176" t="s">
        <v>42</v>
      </c>
      <c r="U176" t="s">
        <v>42</v>
      </c>
      <c r="V176" t="s">
        <v>42</v>
      </c>
      <c r="W176" s="8" t="s">
        <v>64</v>
      </c>
      <c r="X176" t="s">
        <v>42</v>
      </c>
      <c r="Y176" s="8">
        <v>1</v>
      </c>
      <c r="Z176">
        <v>0</v>
      </c>
      <c r="AA176">
        <v>0</v>
      </c>
      <c r="AB176">
        <v>0</v>
      </c>
      <c r="AC176" s="5">
        <v>1987</v>
      </c>
      <c r="AD176" s="1">
        <v>1993</v>
      </c>
      <c r="AE176" s="6">
        <f>AD176-AC176</f>
        <v>6</v>
      </c>
      <c r="AF176">
        <v>4</v>
      </c>
      <c r="AG176" t="s">
        <v>64</v>
      </c>
      <c r="AH176" s="1" t="s">
        <v>64</v>
      </c>
    </row>
    <row r="177" spans="1:34" ht="14.5">
      <c r="A177" t="s">
        <v>351</v>
      </c>
      <c r="B177" t="s">
        <v>352</v>
      </c>
      <c r="C177" s="24">
        <v>3</v>
      </c>
      <c r="D177" t="s">
        <v>38</v>
      </c>
      <c r="E177" t="s">
        <v>38</v>
      </c>
      <c r="F177" t="s">
        <v>123</v>
      </c>
      <c r="G177" t="s">
        <v>40</v>
      </c>
      <c r="H177" t="s">
        <v>41</v>
      </c>
      <c r="I177" t="s">
        <v>42</v>
      </c>
      <c r="J177" t="s">
        <v>42</v>
      </c>
      <c r="K177" t="s">
        <v>353</v>
      </c>
      <c r="L177" t="s">
        <v>42</v>
      </c>
      <c r="M177" t="s">
        <v>42</v>
      </c>
      <c r="N177" s="39" t="s">
        <v>52</v>
      </c>
      <c r="O177" t="s">
        <v>86</v>
      </c>
      <c r="P177" s="39" t="s">
        <v>52</v>
      </c>
      <c r="Q177" t="s">
        <v>94</v>
      </c>
      <c r="R177" t="s">
        <v>355</v>
      </c>
      <c r="S177" t="s">
        <v>69</v>
      </c>
      <c r="T177" t="s">
        <v>342</v>
      </c>
      <c r="U177" t="s">
        <v>42</v>
      </c>
      <c r="V177" t="s">
        <v>42</v>
      </c>
      <c r="W177" s="8" t="s">
        <v>64</v>
      </c>
      <c r="X177" t="s">
        <v>42</v>
      </c>
      <c r="Y177" s="8">
        <v>1</v>
      </c>
      <c r="Z177">
        <v>0</v>
      </c>
      <c r="AA177">
        <v>0</v>
      </c>
      <c r="AB177">
        <v>0</v>
      </c>
      <c r="AC177" s="5">
        <v>1978</v>
      </c>
      <c r="AD177" s="1">
        <v>1993</v>
      </c>
      <c r="AE177" s="6">
        <f>AD177-AC177</f>
        <v>15</v>
      </c>
      <c r="AF177">
        <v>14</v>
      </c>
      <c r="AG177" t="s">
        <v>50</v>
      </c>
      <c r="AH177" s="1" t="s">
        <v>64</v>
      </c>
    </row>
    <row r="178" spans="1:34" ht="14.5">
      <c r="A178" t="s">
        <v>351</v>
      </c>
      <c r="B178" t="s">
        <v>352</v>
      </c>
      <c r="C178" s="24">
        <v>4</v>
      </c>
      <c r="D178" t="s">
        <v>38</v>
      </c>
      <c r="E178" t="s">
        <v>38</v>
      </c>
      <c r="F178" t="s">
        <v>39</v>
      </c>
      <c r="G178" t="s">
        <v>40</v>
      </c>
      <c r="H178" t="s">
        <v>41</v>
      </c>
      <c r="I178" t="s">
        <v>42</v>
      </c>
      <c r="J178" t="s">
        <v>42</v>
      </c>
      <c r="K178" t="s">
        <v>42</v>
      </c>
      <c r="L178" t="s">
        <v>42</v>
      </c>
      <c r="M178" t="s">
        <v>42</v>
      </c>
      <c r="N178" s="39" t="s">
        <v>43</v>
      </c>
      <c r="O178" t="s">
        <v>86</v>
      </c>
      <c r="P178" s="39" t="s">
        <v>43</v>
      </c>
      <c r="Q178" t="s">
        <v>94</v>
      </c>
      <c r="R178" t="s">
        <v>355</v>
      </c>
      <c r="S178" t="s">
        <v>136</v>
      </c>
      <c r="T178" t="s">
        <v>342</v>
      </c>
      <c r="U178" t="s">
        <v>42</v>
      </c>
      <c r="V178" t="s">
        <v>42</v>
      </c>
      <c r="W178" s="8" t="s">
        <v>64</v>
      </c>
      <c r="X178" t="s">
        <v>42</v>
      </c>
      <c r="Y178" s="8">
        <v>1</v>
      </c>
      <c r="Z178">
        <v>0</v>
      </c>
      <c r="AA178">
        <v>0</v>
      </c>
      <c r="AB178">
        <v>0</v>
      </c>
      <c r="AC178" s="5">
        <v>1985</v>
      </c>
      <c r="AD178" s="1">
        <v>1993</v>
      </c>
      <c r="AE178" s="6">
        <f>AD178-AC178</f>
        <v>8</v>
      </c>
      <c r="AF178">
        <v>6</v>
      </c>
      <c r="AG178" t="s">
        <v>64</v>
      </c>
      <c r="AH178" s="1" t="s">
        <v>64</v>
      </c>
    </row>
    <row r="179" spans="1:34" s="9" customFormat="1" ht="14.5">
      <c r="A179" s="9" t="s">
        <v>351</v>
      </c>
      <c r="B179" s="9" t="s">
        <v>352</v>
      </c>
      <c r="C179" s="25">
        <v>5</v>
      </c>
      <c r="D179" s="9" t="s">
        <v>38</v>
      </c>
      <c r="E179" s="9" t="s">
        <v>38</v>
      </c>
      <c r="F179" s="9" t="s">
        <v>116</v>
      </c>
      <c r="G179" s="9" t="s">
        <v>40</v>
      </c>
      <c r="H179" s="9" t="s">
        <v>42</v>
      </c>
      <c r="I179" s="9" t="s">
        <v>42</v>
      </c>
      <c r="J179" s="9" t="s">
        <v>42</v>
      </c>
      <c r="K179" s="9" t="s">
        <v>353</v>
      </c>
      <c r="L179" s="9" t="s">
        <v>42</v>
      </c>
      <c r="M179" s="9" t="s">
        <v>42</v>
      </c>
      <c r="N179" s="40" t="s">
        <v>311</v>
      </c>
      <c r="O179" s="9" t="s">
        <v>86</v>
      </c>
      <c r="P179" s="40" t="s">
        <v>356</v>
      </c>
      <c r="Q179" s="9" t="s">
        <v>94</v>
      </c>
      <c r="R179" s="9" t="s">
        <v>113</v>
      </c>
      <c r="S179" s="9" t="s">
        <v>88</v>
      </c>
      <c r="T179" s="9" t="s">
        <v>42</v>
      </c>
      <c r="U179" s="9" t="s">
        <v>42</v>
      </c>
      <c r="V179" s="9" t="s">
        <v>42</v>
      </c>
      <c r="W179" s="11" t="s">
        <v>64</v>
      </c>
      <c r="X179" s="9" t="s">
        <v>42</v>
      </c>
      <c r="Y179" s="11">
        <v>1</v>
      </c>
      <c r="Z179" s="9">
        <v>5</v>
      </c>
      <c r="AA179" s="9">
        <v>0</v>
      </c>
      <c r="AB179" s="9">
        <v>0</v>
      </c>
      <c r="AC179" s="12" t="s">
        <v>42</v>
      </c>
      <c r="AD179" s="10" t="s">
        <v>42</v>
      </c>
      <c r="AE179" s="13" t="s">
        <v>42</v>
      </c>
      <c r="AF179" s="9">
        <v>1</v>
      </c>
      <c r="AG179" s="9" t="s">
        <v>64</v>
      </c>
      <c r="AH179" s="10" t="s">
        <v>64</v>
      </c>
    </row>
    <row r="180" spans="1:34" s="9" customFormat="1" ht="14.5">
      <c r="A180" s="9" t="s">
        <v>357</v>
      </c>
      <c r="B180" s="9" t="s">
        <v>358</v>
      </c>
      <c r="C180" s="25">
        <v>1</v>
      </c>
      <c r="D180" s="9" t="s">
        <v>38</v>
      </c>
      <c r="E180" s="9" t="s">
        <v>38</v>
      </c>
      <c r="F180" s="9" t="s">
        <v>39</v>
      </c>
      <c r="G180" s="9" t="s">
        <v>40</v>
      </c>
      <c r="H180" s="9" t="s">
        <v>41</v>
      </c>
      <c r="I180" s="9" t="s">
        <v>42</v>
      </c>
      <c r="J180" s="9" t="s">
        <v>42</v>
      </c>
      <c r="K180" s="9" t="s">
        <v>42</v>
      </c>
      <c r="L180" s="9" t="s">
        <v>42</v>
      </c>
      <c r="M180" s="10" t="s">
        <v>42</v>
      </c>
      <c r="N180" s="40" t="s">
        <v>359</v>
      </c>
      <c r="O180" s="9" t="s">
        <v>86</v>
      </c>
      <c r="P180" s="40" t="s">
        <v>360</v>
      </c>
      <c r="Q180" s="9" t="s">
        <v>277</v>
      </c>
      <c r="R180" s="9" t="s">
        <v>361</v>
      </c>
      <c r="S180" s="9" t="s">
        <v>88</v>
      </c>
      <c r="T180" s="9" t="s">
        <v>42</v>
      </c>
      <c r="U180" s="9" t="s">
        <v>42</v>
      </c>
      <c r="V180" s="9" t="s">
        <v>42</v>
      </c>
      <c r="W180" s="11" t="s">
        <v>64</v>
      </c>
      <c r="X180" s="9" t="s">
        <v>42</v>
      </c>
      <c r="Y180" s="11">
        <v>1</v>
      </c>
      <c r="Z180" s="9">
        <v>0</v>
      </c>
      <c r="AA180" s="9">
        <v>0</v>
      </c>
      <c r="AB180" s="9">
        <v>1</v>
      </c>
      <c r="AC180" s="12">
        <v>1996</v>
      </c>
      <c r="AD180" s="10">
        <v>1996</v>
      </c>
      <c r="AE180" s="13" t="s">
        <v>72</v>
      </c>
      <c r="AF180" s="9">
        <v>1</v>
      </c>
      <c r="AG180" s="9" t="s">
        <v>64</v>
      </c>
      <c r="AH180" s="10" t="s">
        <v>64</v>
      </c>
    </row>
    <row r="181" spans="1:34" ht="14.5">
      <c r="A181" t="s">
        <v>362</v>
      </c>
      <c r="B181" t="s">
        <v>363</v>
      </c>
      <c r="C181" s="24">
        <v>1</v>
      </c>
      <c r="D181" t="s">
        <v>38</v>
      </c>
      <c r="E181" t="s">
        <v>38</v>
      </c>
      <c r="F181" t="s">
        <v>39</v>
      </c>
      <c r="G181" t="s">
        <v>40</v>
      </c>
      <c r="H181" t="s">
        <v>41</v>
      </c>
      <c r="I181" t="s">
        <v>42</v>
      </c>
      <c r="J181" t="s">
        <v>42</v>
      </c>
      <c r="K181" t="s">
        <v>42</v>
      </c>
      <c r="L181" t="s">
        <v>42</v>
      </c>
      <c r="M181" t="s">
        <v>42</v>
      </c>
      <c r="N181" s="39" t="s">
        <v>99</v>
      </c>
      <c r="O181" t="s">
        <v>86</v>
      </c>
      <c r="P181" s="39" t="s">
        <v>100</v>
      </c>
      <c r="Q181" t="s">
        <v>254</v>
      </c>
      <c r="R181" t="s">
        <v>255</v>
      </c>
      <c r="S181" t="s">
        <v>101</v>
      </c>
      <c r="T181" t="s">
        <v>42</v>
      </c>
      <c r="U181" t="s">
        <v>42</v>
      </c>
      <c r="V181" t="s">
        <v>42</v>
      </c>
      <c r="W181" s="8" t="s">
        <v>64</v>
      </c>
      <c r="X181" t="s">
        <v>42</v>
      </c>
      <c r="Y181" s="8">
        <v>1</v>
      </c>
      <c r="Z181">
        <v>0</v>
      </c>
      <c r="AA181">
        <v>0</v>
      </c>
      <c r="AB181">
        <v>0</v>
      </c>
      <c r="AC181" s="5">
        <v>2001</v>
      </c>
      <c r="AD181" s="1">
        <v>2003</v>
      </c>
      <c r="AE181" s="6">
        <f t="shared" ref="AE181:AE191" si="3">AD181-AC181</f>
        <v>2</v>
      </c>
      <c r="AF181">
        <v>42</v>
      </c>
      <c r="AG181" t="s">
        <v>64</v>
      </c>
      <c r="AH181" s="1" t="s">
        <v>64</v>
      </c>
    </row>
    <row r="182" spans="1:34" ht="14.5">
      <c r="A182" t="s">
        <v>362</v>
      </c>
      <c r="B182" t="s">
        <v>363</v>
      </c>
      <c r="C182" s="24">
        <v>2</v>
      </c>
      <c r="D182" t="s">
        <v>38</v>
      </c>
      <c r="E182" t="s">
        <v>38</v>
      </c>
      <c r="F182" t="s">
        <v>39</v>
      </c>
      <c r="G182" t="s">
        <v>40</v>
      </c>
      <c r="H182" t="s">
        <v>41</v>
      </c>
      <c r="I182" t="s">
        <v>42</v>
      </c>
      <c r="J182" t="s">
        <v>42</v>
      </c>
      <c r="K182" t="s">
        <v>42</v>
      </c>
      <c r="L182" t="s">
        <v>42</v>
      </c>
      <c r="M182" t="s">
        <v>42</v>
      </c>
      <c r="N182" s="39" t="s">
        <v>132</v>
      </c>
      <c r="O182" t="s">
        <v>86</v>
      </c>
      <c r="P182" s="39" t="s">
        <v>132</v>
      </c>
      <c r="Q182" t="s">
        <v>254</v>
      </c>
      <c r="R182" t="s">
        <v>255</v>
      </c>
      <c r="S182" t="s">
        <v>364</v>
      </c>
      <c r="T182" t="s">
        <v>42</v>
      </c>
      <c r="U182" t="s">
        <v>42</v>
      </c>
      <c r="V182" t="s">
        <v>42</v>
      </c>
      <c r="W182" s="8" t="s">
        <v>64</v>
      </c>
      <c r="X182" t="s">
        <v>42</v>
      </c>
      <c r="Y182" s="8">
        <v>1</v>
      </c>
      <c r="Z182">
        <v>0</v>
      </c>
      <c r="AA182">
        <v>0</v>
      </c>
      <c r="AB182">
        <v>0</v>
      </c>
      <c r="AC182" s="5">
        <v>2001</v>
      </c>
      <c r="AD182" s="1">
        <v>2009</v>
      </c>
      <c r="AE182" s="6">
        <f t="shared" si="3"/>
        <v>8</v>
      </c>
      <c r="AF182">
        <v>4</v>
      </c>
      <c r="AG182" t="s">
        <v>64</v>
      </c>
      <c r="AH182" s="1" t="s">
        <v>64</v>
      </c>
    </row>
    <row r="183" spans="1:34" ht="14.5">
      <c r="A183" t="s">
        <v>362</v>
      </c>
      <c r="B183" t="s">
        <v>363</v>
      </c>
      <c r="C183" s="24">
        <v>3</v>
      </c>
      <c r="D183" t="s">
        <v>38</v>
      </c>
      <c r="E183" t="s">
        <v>38</v>
      </c>
      <c r="F183" t="s">
        <v>39</v>
      </c>
      <c r="G183" t="s">
        <v>40</v>
      </c>
      <c r="H183" t="s">
        <v>41</v>
      </c>
      <c r="I183" t="s">
        <v>42</v>
      </c>
      <c r="J183" t="s">
        <v>42</v>
      </c>
      <c r="K183" t="s">
        <v>42</v>
      </c>
      <c r="L183" t="s">
        <v>42</v>
      </c>
      <c r="M183" t="s">
        <v>42</v>
      </c>
      <c r="N183" s="39" t="s">
        <v>52</v>
      </c>
      <c r="O183" t="s">
        <v>86</v>
      </c>
      <c r="P183" s="39" t="s">
        <v>52</v>
      </c>
      <c r="Q183" t="s">
        <v>254</v>
      </c>
      <c r="R183" t="s">
        <v>255</v>
      </c>
      <c r="S183" t="s">
        <v>69</v>
      </c>
      <c r="T183" t="s">
        <v>204</v>
      </c>
      <c r="U183" t="s">
        <v>42</v>
      </c>
      <c r="V183" t="s">
        <v>42</v>
      </c>
      <c r="W183" s="8" t="s">
        <v>64</v>
      </c>
      <c r="X183" t="s">
        <v>42</v>
      </c>
      <c r="Y183" s="8">
        <v>1</v>
      </c>
      <c r="Z183">
        <v>0</v>
      </c>
      <c r="AA183">
        <v>0</v>
      </c>
      <c r="AB183">
        <v>0</v>
      </c>
      <c r="AC183" s="5">
        <v>2001</v>
      </c>
      <c r="AD183" s="1">
        <v>2009</v>
      </c>
      <c r="AE183" s="6">
        <f t="shared" si="3"/>
        <v>8</v>
      </c>
      <c r="AF183">
        <v>4</v>
      </c>
      <c r="AG183" t="s">
        <v>64</v>
      </c>
      <c r="AH183" s="1" t="s">
        <v>64</v>
      </c>
    </row>
    <row r="184" spans="1:34" ht="14.5">
      <c r="A184" t="s">
        <v>362</v>
      </c>
      <c r="B184" t="s">
        <v>363</v>
      </c>
      <c r="C184" s="24">
        <v>4</v>
      </c>
      <c r="D184" t="s">
        <v>38</v>
      </c>
      <c r="E184" t="s">
        <v>38</v>
      </c>
      <c r="F184" t="s">
        <v>39</v>
      </c>
      <c r="G184" t="s">
        <v>40</v>
      </c>
      <c r="H184" t="s">
        <v>41</v>
      </c>
      <c r="I184" t="s">
        <v>42</v>
      </c>
      <c r="J184" t="s">
        <v>42</v>
      </c>
      <c r="K184" t="s">
        <v>42</v>
      </c>
      <c r="L184" t="s">
        <v>42</v>
      </c>
      <c r="M184" t="s">
        <v>42</v>
      </c>
      <c r="N184" s="39" t="s">
        <v>43</v>
      </c>
      <c r="O184" t="s">
        <v>86</v>
      </c>
      <c r="P184" s="39" t="s">
        <v>247</v>
      </c>
      <c r="Q184" t="s">
        <v>254</v>
      </c>
      <c r="R184" t="s">
        <v>255</v>
      </c>
      <c r="S184" t="s">
        <v>136</v>
      </c>
      <c r="T184" t="s">
        <v>204</v>
      </c>
      <c r="U184" t="s">
        <v>42</v>
      </c>
      <c r="V184" t="s">
        <v>42</v>
      </c>
      <c r="W184" s="8" t="s">
        <v>64</v>
      </c>
      <c r="X184" t="s">
        <v>42</v>
      </c>
      <c r="Y184" s="8">
        <v>1</v>
      </c>
      <c r="Z184">
        <v>0</v>
      </c>
      <c r="AA184">
        <v>0</v>
      </c>
      <c r="AB184">
        <v>0</v>
      </c>
      <c r="AC184" s="5">
        <v>2001</v>
      </c>
      <c r="AD184" s="1">
        <v>2009</v>
      </c>
      <c r="AE184" s="6">
        <f t="shared" si="3"/>
        <v>8</v>
      </c>
      <c r="AF184">
        <v>4</v>
      </c>
      <c r="AG184" t="s">
        <v>64</v>
      </c>
      <c r="AH184" s="1" t="s">
        <v>64</v>
      </c>
    </row>
    <row r="185" spans="1:34" ht="14.5">
      <c r="A185" t="s">
        <v>362</v>
      </c>
      <c r="B185" t="s">
        <v>363</v>
      </c>
      <c r="C185" s="24">
        <v>5</v>
      </c>
      <c r="D185" t="s">
        <v>38</v>
      </c>
      <c r="E185" t="s">
        <v>38</v>
      </c>
      <c r="F185" t="s">
        <v>39</v>
      </c>
      <c r="G185" t="s">
        <v>40</v>
      </c>
      <c r="H185" t="s">
        <v>251</v>
      </c>
      <c r="I185" t="s">
        <v>92</v>
      </c>
      <c r="J185" t="s">
        <v>252</v>
      </c>
      <c r="K185" t="s">
        <v>42</v>
      </c>
      <c r="L185" t="s">
        <v>42</v>
      </c>
      <c r="M185" t="s">
        <v>42</v>
      </c>
      <c r="N185" s="39" t="s">
        <v>60</v>
      </c>
      <c r="O185" t="s">
        <v>44</v>
      </c>
      <c r="P185" s="39" t="s">
        <v>253</v>
      </c>
      <c r="Q185" t="s">
        <v>254</v>
      </c>
      <c r="R185" t="s">
        <v>255</v>
      </c>
      <c r="S185" t="s">
        <v>42</v>
      </c>
      <c r="T185" t="s">
        <v>42</v>
      </c>
      <c r="U185" t="s">
        <v>42</v>
      </c>
      <c r="V185" t="s">
        <v>42</v>
      </c>
      <c r="W185" s="8" t="s">
        <v>50</v>
      </c>
      <c r="X185" t="s">
        <v>365</v>
      </c>
      <c r="Y185" s="8">
        <v>1</v>
      </c>
      <c r="Z185">
        <v>0</v>
      </c>
      <c r="AA185">
        <v>0</v>
      </c>
      <c r="AB185">
        <v>0</v>
      </c>
      <c r="AC185" s="5">
        <v>2001</v>
      </c>
      <c r="AD185" s="1">
        <v>2002</v>
      </c>
      <c r="AE185" s="6">
        <f t="shared" si="3"/>
        <v>1</v>
      </c>
      <c r="AF185" t="s">
        <v>42</v>
      </c>
      <c r="AG185" t="s">
        <v>64</v>
      </c>
      <c r="AH185" s="1" t="s">
        <v>64</v>
      </c>
    </row>
    <row r="186" spans="1:34" ht="14.5">
      <c r="A186" t="s">
        <v>362</v>
      </c>
      <c r="B186" t="s">
        <v>363</v>
      </c>
      <c r="C186" s="24">
        <v>6</v>
      </c>
      <c r="D186" t="s">
        <v>38</v>
      </c>
      <c r="E186" t="s">
        <v>38</v>
      </c>
      <c r="F186" t="s">
        <v>39</v>
      </c>
      <c r="G186" t="s">
        <v>40</v>
      </c>
      <c r="H186" t="s">
        <v>91</v>
      </c>
      <c r="I186" t="s">
        <v>92</v>
      </c>
      <c r="J186" t="s">
        <v>42</v>
      </c>
      <c r="K186" t="s">
        <v>42</v>
      </c>
      <c r="L186" t="s">
        <v>42</v>
      </c>
      <c r="M186" t="s">
        <v>42</v>
      </c>
      <c r="N186" s="39" t="s">
        <v>132</v>
      </c>
      <c r="O186" t="s">
        <v>86</v>
      </c>
      <c r="P186" s="39" t="s">
        <v>366</v>
      </c>
      <c r="Q186" t="s">
        <v>254</v>
      </c>
      <c r="R186" t="s">
        <v>255</v>
      </c>
      <c r="S186" t="s">
        <v>367</v>
      </c>
      <c r="T186" t="s">
        <v>42</v>
      </c>
      <c r="U186" t="s">
        <v>42</v>
      </c>
      <c r="V186" t="s">
        <v>42</v>
      </c>
      <c r="W186" s="8" t="s">
        <v>64</v>
      </c>
      <c r="X186" t="s">
        <v>42</v>
      </c>
      <c r="Y186" s="8">
        <v>1</v>
      </c>
      <c r="Z186">
        <v>0</v>
      </c>
      <c r="AA186">
        <v>0</v>
      </c>
      <c r="AB186">
        <v>0</v>
      </c>
      <c r="AC186" s="5">
        <v>2001</v>
      </c>
      <c r="AD186" s="1">
        <v>2003</v>
      </c>
      <c r="AE186" s="6">
        <f t="shared" si="3"/>
        <v>2</v>
      </c>
      <c r="AF186" t="s">
        <v>42</v>
      </c>
      <c r="AG186" t="s">
        <v>64</v>
      </c>
      <c r="AH186" s="1" t="s">
        <v>64</v>
      </c>
    </row>
    <row r="187" spans="1:34" ht="14.5">
      <c r="A187" t="s">
        <v>362</v>
      </c>
      <c r="B187" t="s">
        <v>363</v>
      </c>
      <c r="C187" s="24">
        <v>7</v>
      </c>
      <c r="D187" t="s">
        <v>38</v>
      </c>
      <c r="E187" t="s">
        <v>38</v>
      </c>
      <c r="F187" t="s">
        <v>39</v>
      </c>
      <c r="G187" t="s">
        <v>40</v>
      </c>
      <c r="H187" t="s">
        <v>91</v>
      </c>
      <c r="I187" t="s">
        <v>92</v>
      </c>
      <c r="J187" t="s">
        <v>42</v>
      </c>
      <c r="K187" t="s">
        <v>42</v>
      </c>
      <c r="L187" t="s">
        <v>42</v>
      </c>
      <c r="M187" t="s">
        <v>42</v>
      </c>
      <c r="N187" s="39" t="s">
        <v>43</v>
      </c>
      <c r="O187" t="s">
        <v>86</v>
      </c>
      <c r="P187" s="39" t="s">
        <v>368</v>
      </c>
      <c r="Q187" t="s">
        <v>254</v>
      </c>
      <c r="R187" t="s">
        <v>255</v>
      </c>
      <c r="S187" t="s">
        <v>160</v>
      </c>
      <c r="T187" t="s">
        <v>42</v>
      </c>
      <c r="U187" t="s">
        <v>42</v>
      </c>
      <c r="V187" t="s">
        <v>42</v>
      </c>
      <c r="W187" s="8" t="s">
        <v>64</v>
      </c>
      <c r="X187" t="s">
        <v>42</v>
      </c>
      <c r="Y187" s="8">
        <v>1</v>
      </c>
      <c r="Z187">
        <v>0</v>
      </c>
      <c r="AA187">
        <v>0</v>
      </c>
      <c r="AB187">
        <v>0</v>
      </c>
      <c r="AC187" s="5">
        <v>2001</v>
      </c>
      <c r="AD187" s="1">
        <v>2003</v>
      </c>
      <c r="AE187" s="6">
        <f t="shared" si="3"/>
        <v>2</v>
      </c>
      <c r="AF187" t="s">
        <v>42</v>
      </c>
      <c r="AG187" t="s">
        <v>64</v>
      </c>
      <c r="AH187" s="1" t="s">
        <v>64</v>
      </c>
    </row>
    <row r="188" spans="1:34" s="9" customFormat="1" ht="14.5">
      <c r="A188" s="9" t="s">
        <v>362</v>
      </c>
      <c r="B188" s="9" t="s">
        <v>363</v>
      </c>
      <c r="C188" s="25">
        <v>8</v>
      </c>
      <c r="D188" s="9" t="s">
        <v>38</v>
      </c>
      <c r="E188" s="9" t="s">
        <v>38</v>
      </c>
      <c r="F188" s="9" t="s">
        <v>39</v>
      </c>
      <c r="G188" s="9" t="s">
        <v>40</v>
      </c>
      <c r="H188" s="9" t="s">
        <v>251</v>
      </c>
      <c r="I188" s="9" t="s">
        <v>92</v>
      </c>
      <c r="J188" s="9" t="s">
        <v>252</v>
      </c>
      <c r="K188" s="9" t="s">
        <v>42</v>
      </c>
      <c r="L188" s="9" t="s">
        <v>42</v>
      </c>
      <c r="M188" s="9" t="s">
        <v>42</v>
      </c>
      <c r="N188" s="40" t="s">
        <v>60</v>
      </c>
      <c r="O188" s="9" t="s">
        <v>86</v>
      </c>
      <c r="P188" s="40" t="s">
        <v>369</v>
      </c>
      <c r="Q188" s="9" t="s">
        <v>254</v>
      </c>
      <c r="R188" s="9" t="s">
        <v>255</v>
      </c>
      <c r="S188" s="9" t="s">
        <v>367</v>
      </c>
      <c r="T188" s="9" t="s">
        <v>42</v>
      </c>
      <c r="U188" s="9" t="s">
        <v>42</v>
      </c>
      <c r="V188" s="9" t="s">
        <v>42</v>
      </c>
      <c r="W188" s="11" t="s">
        <v>64</v>
      </c>
      <c r="X188" s="9" t="s">
        <v>42</v>
      </c>
      <c r="Y188" s="11">
        <v>1</v>
      </c>
      <c r="Z188" s="9">
        <v>0</v>
      </c>
      <c r="AA188" s="9">
        <v>0</v>
      </c>
      <c r="AB188" s="9">
        <v>0</v>
      </c>
      <c r="AC188" s="12">
        <v>2001</v>
      </c>
      <c r="AD188" s="10">
        <v>2003</v>
      </c>
      <c r="AE188" s="13">
        <f t="shared" si="3"/>
        <v>2</v>
      </c>
      <c r="AF188" s="9" t="s">
        <v>42</v>
      </c>
      <c r="AG188" s="9" t="s">
        <v>64</v>
      </c>
      <c r="AH188" s="10" t="s">
        <v>64</v>
      </c>
    </row>
    <row r="189" spans="1:34" ht="14.5">
      <c r="A189" t="s">
        <v>370</v>
      </c>
      <c r="B189" t="s">
        <v>371</v>
      </c>
      <c r="C189" s="24">
        <v>1</v>
      </c>
      <c r="D189" t="s">
        <v>38</v>
      </c>
      <c r="E189" t="s">
        <v>38</v>
      </c>
      <c r="F189" t="s">
        <v>39</v>
      </c>
      <c r="G189" t="s">
        <v>40</v>
      </c>
      <c r="H189" t="s">
        <v>91</v>
      </c>
      <c r="I189" t="s">
        <v>42</v>
      </c>
      <c r="J189" t="s">
        <v>42</v>
      </c>
      <c r="K189" t="s">
        <v>42</v>
      </c>
      <c r="L189" t="s">
        <v>42</v>
      </c>
      <c r="M189" t="s">
        <v>42</v>
      </c>
      <c r="N189" s="39" t="s">
        <v>52</v>
      </c>
      <c r="O189" t="s">
        <v>86</v>
      </c>
      <c r="P189" s="39" t="s">
        <v>52</v>
      </c>
      <c r="Q189" t="s">
        <v>275</v>
      </c>
      <c r="R189" t="s">
        <v>276</v>
      </c>
      <c r="S189" t="s">
        <v>69</v>
      </c>
      <c r="T189" t="s">
        <v>204</v>
      </c>
      <c r="U189" t="s">
        <v>42</v>
      </c>
      <c r="V189" t="s">
        <v>42</v>
      </c>
      <c r="W189" s="8" t="s">
        <v>64</v>
      </c>
      <c r="X189" t="s">
        <v>42</v>
      </c>
      <c r="Y189" s="8">
        <v>1</v>
      </c>
      <c r="Z189">
        <v>0</v>
      </c>
      <c r="AA189">
        <v>0</v>
      </c>
      <c r="AB189">
        <v>0</v>
      </c>
      <c r="AC189" s="5">
        <v>2009</v>
      </c>
      <c r="AD189" s="1">
        <v>2010</v>
      </c>
      <c r="AE189" s="6">
        <f t="shared" si="3"/>
        <v>1</v>
      </c>
      <c r="AF189">
        <v>12</v>
      </c>
      <c r="AG189" t="s">
        <v>64</v>
      </c>
      <c r="AH189" s="1" t="s">
        <v>64</v>
      </c>
    </row>
    <row r="190" spans="1:34" ht="14.5">
      <c r="A190" t="s">
        <v>370</v>
      </c>
      <c r="B190" t="s">
        <v>371</v>
      </c>
      <c r="C190" s="24">
        <v>2</v>
      </c>
      <c r="D190" t="s">
        <v>38</v>
      </c>
      <c r="E190" t="s">
        <v>38</v>
      </c>
      <c r="F190" t="s">
        <v>39</v>
      </c>
      <c r="G190" t="s">
        <v>40</v>
      </c>
      <c r="H190" t="s">
        <v>91</v>
      </c>
      <c r="I190" t="s">
        <v>42</v>
      </c>
      <c r="J190" t="s">
        <v>42</v>
      </c>
      <c r="K190" t="s">
        <v>42</v>
      </c>
      <c r="L190" t="s">
        <v>42</v>
      </c>
      <c r="M190" t="s">
        <v>42</v>
      </c>
      <c r="N190" s="39" t="s">
        <v>43</v>
      </c>
      <c r="O190" t="s">
        <v>86</v>
      </c>
      <c r="P190" s="39" t="s">
        <v>43</v>
      </c>
      <c r="Q190" t="s">
        <v>275</v>
      </c>
      <c r="R190" t="s">
        <v>276</v>
      </c>
      <c r="S190" t="s">
        <v>136</v>
      </c>
      <c r="T190" t="s">
        <v>372</v>
      </c>
      <c r="U190" t="s">
        <v>42</v>
      </c>
      <c r="V190" t="s">
        <v>42</v>
      </c>
      <c r="W190" s="8" t="s">
        <v>64</v>
      </c>
      <c r="X190" t="s">
        <v>42</v>
      </c>
      <c r="Y190" s="8">
        <v>1</v>
      </c>
      <c r="Z190">
        <v>0</v>
      </c>
      <c r="AA190">
        <v>0</v>
      </c>
      <c r="AB190">
        <v>0</v>
      </c>
      <c r="AC190" s="5">
        <v>2008</v>
      </c>
      <c r="AD190" s="1">
        <v>2010</v>
      </c>
      <c r="AE190" s="6">
        <f t="shared" si="3"/>
        <v>2</v>
      </c>
      <c r="AF190">
        <v>13</v>
      </c>
      <c r="AG190" t="s">
        <v>64</v>
      </c>
      <c r="AH190" s="1" t="s">
        <v>64</v>
      </c>
    </row>
    <row r="191" spans="1:34" s="9" customFormat="1" ht="14.5">
      <c r="A191" s="9" t="s">
        <v>370</v>
      </c>
      <c r="B191" s="9" t="s">
        <v>371</v>
      </c>
      <c r="C191" s="25">
        <v>3</v>
      </c>
      <c r="D191" s="9" t="s">
        <v>38</v>
      </c>
      <c r="E191" s="9" t="s">
        <v>38</v>
      </c>
      <c r="F191" s="9" t="s">
        <v>39</v>
      </c>
      <c r="G191" s="9" t="s">
        <v>40</v>
      </c>
      <c r="H191" s="9" t="s">
        <v>91</v>
      </c>
      <c r="I191" s="9" t="s">
        <v>42</v>
      </c>
      <c r="J191" s="9" t="s">
        <v>42</v>
      </c>
      <c r="K191" s="9" t="s">
        <v>42</v>
      </c>
      <c r="L191" s="9" t="s">
        <v>42</v>
      </c>
      <c r="M191" s="9" t="s">
        <v>42</v>
      </c>
      <c r="N191" s="40" t="s">
        <v>57</v>
      </c>
      <c r="O191" s="9" t="s">
        <v>86</v>
      </c>
      <c r="P191" s="40" t="s">
        <v>330</v>
      </c>
      <c r="Q191" s="9" t="s">
        <v>275</v>
      </c>
      <c r="R191" s="9" t="s">
        <v>276</v>
      </c>
      <c r="S191" s="9" t="s">
        <v>331</v>
      </c>
      <c r="T191" s="9" t="s">
        <v>372</v>
      </c>
      <c r="U191" s="9" t="s">
        <v>42</v>
      </c>
      <c r="V191" s="9" t="s">
        <v>42</v>
      </c>
      <c r="W191" s="11" t="s">
        <v>64</v>
      </c>
      <c r="X191" s="9" t="s">
        <v>42</v>
      </c>
      <c r="Y191" s="11">
        <v>1</v>
      </c>
      <c r="Z191" s="9">
        <v>0</v>
      </c>
      <c r="AA191" s="9">
        <v>0</v>
      </c>
      <c r="AB191" s="9">
        <v>0</v>
      </c>
      <c r="AC191" s="12">
        <v>2008</v>
      </c>
      <c r="AD191" s="10">
        <v>2010</v>
      </c>
      <c r="AE191" s="13">
        <f t="shared" si="3"/>
        <v>2</v>
      </c>
      <c r="AF191" s="9">
        <v>13</v>
      </c>
      <c r="AG191" s="9" t="s">
        <v>64</v>
      </c>
      <c r="AH191" s="10" t="s">
        <v>64</v>
      </c>
    </row>
    <row r="192" spans="1:34" ht="14.5">
      <c r="A192" t="s">
        <v>373</v>
      </c>
      <c r="B192" t="s">
        <v>374</v>
      </c>
      <c r="C192" s="24">
        <v>1</v>
      </c>
      <c r="D192" t="s">
        <v>38</v>
      </c>
      <c r="E192" t="s">
        <v>38</v>
      </c>
      <c r="F192" t="s">
        <v>39</v>
      </c>
      <c r="G192" t="s">
        <v>40</v>
      </c>
      <c r="H192" t="s">
        <v>91</v>
      </c>
      <c r="I192" t="s">
        <v>92</v>
      </c>
      <c r="J192" t="s">
        <v>42</v>
      </c>
      <c r="K192" t="s">
        <v>42</v>
      </c>
      <c r="L192" t="s">
        <v>42</v>
      </c>
      <c r="M192" t="s">
        <v>42</v>
      </c>
      <c r="N192" s="39" t="s">
        <v>52</v>
      </c>
      <c r="O192" t="s">
        <v>86</v>
      </c>
      <c r="P192" s="39" t="s">
        <v>375</v>
      </c>
      <c r="Q192" t="s">
        <v>254</v>
      </c>
      <c r="R192" t="s">
        <v>255</v>
      </c>
      <c r="S192" t="s">
        <v>376</v>
      </c>
      <c r="T192" t="s">
        <v>42</v>
      </c>
      <c r="U192" t="s">
        <v>42</v>
      </c>
      <c r="V192" t="s">
        <v>42</v>
      </c>
      <c r="W192" s="8" t="s">
        <v>64</v>
      </c>
      <c r="X192" t="s">
        <v>42</v>
      </c>
      <c r="Y192" s="8">
        <v>1</v>
      </c>
      <c r="Z192">
        <v>0</v>
      </c>
      <c r="AA192">
        <v>0</v>
      </c>
      <c r="AB192">
        <v>0</v>
      </c>
      <c r="AC192">
        <v>2001</v>
      </c>
      <c r="AD192">
        <v>2002</v>
      </c>
      <c r="AE192">
        <v>1</v>
      </c>
      <c r="AF192">
        <v>11</v>
      </c>
      <c r="AG192" t="s">
        <v>64</v>
      </c>
      <c r="AH192" t="s">
        <v>64</v>
      </c>
    </row>
    <row r="193" spans="1:34" ht="14.5">
      <c r="A193" t="s">
        <v>373</v>
      </c>
      <c r="B193" t="s">
        <v>374</v>
      </c>
      <c r="C193" s="24">
        <v>2</v>
      </c>
      <c r="D193" t="s">
        <v>38</v>
      </c>
      <c r="E193" t="s">
        <v>38</v>
      </c>
      <c r="F193" t="s">
        <v>39</v>
      </c>
      <c r="G193" t="s">
        <v>40</v>
      </c>
      <c r="H193" t="s">
        <v>91</v>
      </c>
      <c r="I193" t="s">
        <v>92</v>
      </c>
      <c r="J193" t="s">
        <v>42</v>
      </c>
      <c r="K193" t="s">
        <v>42</v>
      </c>
      <c r="L193" t="s">
        <v>42</v>
      </c>
      <c r="M193" t="s">
        <v>42</v>
      </c>
      <c r="N193" s="39" t="s">
        <v>43</v>
      </c>
      <c r="O193" t="s">
        <v>86</v>
      </c>
      <c r="P193" s="39" t="s">
        <v>377</v>
      </c>
      <c r="Q193" t="s">
        <v>254</v>
      </c>
      <c r="R193" t="s">
        <v>255</v>
      </c>
      <c r="S193" t="s">
        <v>160</v>
      </c>
      <c r="T193" t="s">
        <v>42</v>
      </c>
      <c r="U193" t="s">
        <v>42</v>
      </c>
      <c r="V193" t="s">
        <v>42</v>
      </c>
      <c r="W193" s="8" t="s">
        <v>64</v>
      </c>
      <c r="X193" t="s">
        <v>42</v>
      </c>
      <c r="Y193" s="8">
        <v>1</v>
      </c>
      <c r="Z193">
        <v>0</v>
      </c>
      <c r="AA193">
        <v>0</v>
      </c>
      <c r="AB193">
        <v>0</v>
      </c>
      <c r="AC193">
        <v>2001</v>
      </c>
      <c r="AD193">
        <v>2002</v>
      </c>
      <c r="AE193">
        <v>1</v>
      </c>
      <c r="AF193">
        <v>11</v>
      </c>
      <c r="AG193" t="s">
        <v>64</v>
      </c>
      <c r="AH193" t="s">
        <v>64</v>
      </c>
    </row>
    <row r="194" spans="1:34" ht="14.5">
      <c r="A194" t="s">
        <v>373</v>
      </c>
      <c r="B194" t="s">
        <v>374</v>
      </c>
      <c r="C194" s="24">
        <v>3</v>
      </c>
      <c r="D194" t="s">
        <v>38</v>
      </c>
      <c r="E194" t="s">
        <v>38</v>
      </c>
      <c r="F194" t="s">
        <v>39</v>
      </c>
      <c r="G194" t="s">
        <v>40</v>
      </c>
      <c r="H194" t="s">
        <v>91</v>
      </c>
      <c r="I194" t="s">
        <v>92</v>
      </c>
      <c r="J194" t="s">
        <v>42</v>
      </c>
      <c r="K194" t="s">
        <v>42</v>
      </c>
      <c r="L194" t="s">
        <v>42</v>
      </c>
      <c r="M194" t="s">
        <v>42</v>
      </c>
      <c r="N194" s="39" t="s">
        <v>52</v>
      </c>
      <c r="O194" t="s">
        <v>86</v>
      </c>
      <c r="P194" s="39" t="s">
        <v>378</v>
      </c>
      <c r="Q194" t="s">
        <v>254</v>
      </c>
      <c r="R194" t="s">
        <v>255</v>
      </c>
      <c r="S194" t="s">
        <v>88</v>
      </c>
      <c r="T194" t="s">
        <v>42</v>
      </c>
      <c r="U194" t="s">
        <v>42</v>
      </c>
      <c r="V194" t="s">
        <v>42</v>
      </c>
      <c r="W194" s="8" t="s">
        <v>64</v>
      </c>
      <c r="X194" t="s">
        <v>42</v>
      </c>
      <c r="Y194" s="8">
        <v>1</v>
      </c>
      <c r="Z194">
        <v>0</v>
      </c>
      <c r="AA194">
        <v>0</v>
      </c>
      <c r="AB194">
        <v>0</v>
      </c>
      <c r="AC194">
        <v>2001</v>
      </c>
      <c r="AD194">
        <v>2002</v>
      </c>
      <c r="AE194">
        <v>1</v>
      </c>
      <c r="AF194">
        <v>11</v>
      </c>
      <c r="AG194" t="s">
        <v>64</v>
      </c>
      <c r="AH194" t="s">
        <v>64</v>
      </c>
    </row>
    <row r="195" spans="1:34" ht="14.5">
      <c r="A195" t="s">
        <v>373</v>
      </c>
      <c r="B195" t="s">
        <v>374</v>
      </c>
      <c r="C195" s="24">
        <v>4</v>
      </c>
      <c r="D195" t="s">
        <v>38</v>
      </c>
      <c r="E195" t="s">
        <v>38</v>
      </c>
      <c r="F195" t="s">
        <v>39</v>
      </c>
      <c r="G195" t="s">
        <v>40</v>
      </c>
      <c r="H195" t="s">
        <v>91</v>
      </c>
      <c r="I195" t="s">
        <v>92</v>
      </c>
      <c r="J195" t="s">
        <v>252</v>
      </c>
      <c r="K195" t="s">
        <v>42</v>
      </c>
      <c r="L195" t="s">
        <v>42</v>
      </c>
      <c r="M195" t="s">
        <v>42</v>
      </c>
      <c r="N195" s="39" t="s">
        <v>132</v>
      </c>
      <c r="O195" t="s">
        <v>86</v>
      </c>
      <c r="P195" s="39" t="s">
        <v>366</v>
      </c>
      <c r="Q195" t="s">
        <v>254</v>
      </c>
      <c r="R195" t="s">
        <v>255</v>
      </c>
      <c r="S195" t="s">
        <v>367</v>
      </c>
      <c r="T195" t="s">
        <v>42</v>
      </c>
      <c r="U195" t="s">
        <v>42</v>
      </c>
      <c r="V195" t="s">
        <v>42</v>
      </c>
      <c r="W195" s="8" t="s">
        <v>64</v>
      </c>
      <c r="X195" t="s">
        <v>42</v>
      </c>
      <c r="Y195" s="8">
        <v>1</v>
      </c>
      <c r="Z195">
        <v>0</v>
      </c>
      <c r="AA195">
        <v>0</v>
      </c>
      <c r="AB195">
        <v>0</v>
      </c>
      <c r="AC195" s="5">
        <v>2001</v>
      </c>
      <c r="AD195" s="1">
        <v>2002</v>
      </c>
      <c r="AE195" s="6">
        <f t="shared" ref="AE195:AE203" si="4">AD195-AC195</f>
        <v>1</v>
      </c>
      <c r="AF195">
        <v>6</v>
      </c>
      <c r="AG195" t="s">
        <v>64</v>
      </c>
      <c r="AH195" t="s">
        <v>64</v>
      </c>
    </row>
    <row r="196" spans="1:34" s="9" customFormat="1" ht="14.5">
      <c r="A196" s="9" t="s">
        <v>373</v>
      </c>
      <c r="B196" s="9" t="s">
        <v>374</v>
      </c>
      <c r="C196" s="25">
        <v>5</v>
      </c>
      <c r="D196" s="9" t="s">
        <v>38</v>
      </c>
      <c r="E196" s="9" t="s">
        <v>38</v>
      </c>
      <c r="F196" s="9" t="s">
        <v>39</v>
      </c>
      <c r="G196" s="9" t="s">
        <v>40</v>
      </c>
      <c r="H196" s="9" t="s">
        <v>91</v>
      </c>
      <c r="I196" s="9" t="s">
        <v>92</v>
      </c>
      <c r="J196" s="9" t="s">
        <v>252</v>
      </c>
      <c r="K196" s="9" t="s">
        <v>42</v>
      </c>
      <c r="L196" s="9" t="s">
        <v>42</v>
      </c>
      <c r="M196" s="10" t="s">
        <v>42</v>
      </c>
      <c r="N196" s="40" t="s">
        <v>43</v>
      </c>
      <c r="O196" s="9" t="s">
        <v>86</v>
      </c>
      <c r="P196" s="40" t="s">
        <v>379</v>
      </c>
      <c r="Q196" s="9" t="s">
        <v>254</v>
      </c>
      <c r="R196" s="9" t="s">
        <v>255</v>
      </c>
      <c r="S196" s="9" t="s">
        <v>160</v>
      </c>
      <c r="T196" s="9" t="s">
        <v>42</v>
      </c>
      <c r="U196" s="9" t="s">
        <v>42</v>
      </c>
      <c r="V196" s="9" t="s">
        <v>42</v>
      </c>
      <c r="W196" s="11" t="s">
        <v>64</v>
      </c>
      <c r="X196" s="9" t="s">
        <v>42</v>
      </c>
      <c r="Y196" s="11">
        <v>1</v>
      </c>
      <c r="Z196" s="9">
        <v>0</v>
      </c>
      <c r="AA196" s="9">
        <v>0</v>
      </c>
      <c r="AB196" s="9">
        <v>0</v>
      </c>
      <c r="AC196" s="12">
        <v>2001</v>
      </c>
      <c r="AD196" s="10">
        <v>2002</v>
      </c>
      <c r="AE196" s="13">
        <f t="shared" si="4"/>
        <v>1</v>
      </c>
      <c r="AF196" s="9">
        <v>6</v>
      </c>
      <c r="AG196" s="9" t="s">
        <v>64</v>
      </c>
      <c r="AH196" s="9" t="s">
        <v>64</v>
      </c>
    </row>
    <row r="197" spans="1:34" ht="14.5">
      <c r="A197" t="s">
        <v>380</v>
      </c>
      <c r="B197" t="s">
        <v>381</v>
      </c>
      <c r="C197" s="24">
        <v>1</v>
      </c>
      <c r="D197" t="s">
        <v>38</v>
      </c>
      <c r="E197" t="s">
        <v>38</v>
      </c>
      <c r="F197" t="s">
        <v>39</v>
      </c>
      <c r="G197" t="s">
        <v>40</v>
      </c>
      <c r="H197" t="s">
        <v>91</v>
      </c>
      <c r="I197" t="s">
        <v>92</v>
      </c>
      <c r="J197" t="s">
        <v>42</v>
      </c>
      <c r="K197" t="s">
        <v>42</v>
      </c>
      <c r="L197" t="s">
        <v>42</v>
      </c>
      <c r="M197" t="s">
        <v>42</v>
      </c>
      <c r="N197" s="39" t="s">
        <v>132</v>
      </c>
      <c r="O197" t="s">
        <v>86</v>
      </c>
      <c r="P197" s="58" t="s">
        <v>382</v>
      </c>
      <c r="Q197" t="s">
        <v>383</v>
      </c>
      <c r="R197" t="s">
        <v>42</v>
      </c>
      <c r="S197" t="s">
        <v>384</v>
      </c>
      <c r="T197" t="s">
        <v>42</v>
      </c>
      <c r="U197" t="s">
        <v>42</v>
      </c>
      <c r="V197" t="s">
        <v>42</v>
      </c>
      <c r="W197" s="8" t="s">
        <v>64</v>
      </c>
      <c r="X197" t="s">
        <v>42</v>
      </c>
      <c r="Y197" s="8">
        <v>1</v>
      </c>
      <c r="Z197">
        <v>0</v>
      </c>
      <c r="AA197">
        <v>0</v>
      </c>
      <c r="AB197">
        <v>0</v>
      </c>
      <c r="AC197" s="5">
        <v>1999</v>
      </c>
      <c r="AD197" s="1">
        <v>2000</v>
      </c>
      <c r="AE197" s="6">
        <f t="shared" si="4"/>
        <v>1</v>
      </c>
      <c r="AF197">
        <v>26</v>
      </c>
      <c r="AG197" t="s">
        <v>64</v>
      </c>
      <c r="AH197" t="s">
        <v>64</v>
      </c>
    </row>
    <row r="198" spans="1:34" ht="14.5">
      <c r="A198" t="s">
        <v>380</v>
      </c>
      <c r="B198" t="s">
        <v>381</v>
      </c>
      <c r="C198" s="24">
        <v>2</v>
      </c>
      <c r="D198" t="s">
        <v>38</v>
      </c>
      <c r="E198" t="s">
        <v>38</v>
      </c>
      <c r="F198" t="s">
        <v>39</v>
      </c>
      <c r="G198" t="s">
        <v>40</v>
      </c>
      <c r="H198" t="s">
        <v>91</v>
      </c>
      <c r="I198" t="s">
        <v>92</v>
      </c>
      <c r="J198" t="s">
        <v>42</v>
      </c>
      <c r="K198" t="s">
        <v>42</v>
      </c>
      <c r="L198" t="s">
        <v>42</v>
      </c>
      <c r="M198" t="s">
        <v>42</v>
      </c>
      <c r="N198" s="39" t="s">
        <v>132</v>
      </c>
      <c r="O198" t="s">
        <v>86</v>
      </c>
      <c r="P198" s="39" t="s">
        <v>385</v>
      </c>
      <c r="Q198" t="s">
        <v>383</v>
      </c>
      <c r="R198" t="s">
        <v>42</v>
      </c>
      <c r="S198" t="s">
        <v>384</v>
      </c>
      <c r="T198" t="s">
        <v>42</v>
      </c>
      <c r="U198" t="s">
        <v>42</v>
      </c>
      <c r="V198" t="s">
        <v>42</v>
      </c>
      <c r="W198" s="8" t="s">
        <v>64</v>
      </c>
      <c r="X198" t="s">
        <v>42</v>
      </c>
      <c r="Y198" s="8">
        <v>1</v>
      </c>
      <c r="Z198">
        <v>0</v>
      </c>
      <c r="AA198">
        <v>0</v>
      </c>
      <c r="AB198">
        <v>0</v>
      </c>
      <c r="AC198" s="5">
        <v>1999</v>
      </c>
      <c r="AD198" s="1">
        <v>2000</v>
      </c>
      <c r="AE198" s="6">
        <f t="shared" si="4"/>
        <v>1</v>
      </c>
      <c r="AF198">
        <v>26</v>
      </c>
      <c r="AG198" t="s">
        <v>64</v>
      </c>
      <c r="AH198" t="s">
        <v>64</v>
      </c>
    </row>
    <row r="199" spans="1:34" ht="14.5">
      <c r="A199" t="s">
        <v>380</v>
      </c>
      <c r="B199" t="s">
        <v>381</v>
      </c>
      <c r="C199" s="24">
        <v>3</v>
      </c>
      <c r="D199" t="s">
        <v>38</v>
      </c>
      <c r="E199" t="s">
        <v>38</v>
      </c>
      <c r="F199" t="s">
        <v>39</v>
      </c>
      <c r="G199" t="s">
        <v>40</v>
      </c>
      <c r="H199" t="s">
        <v>91</v>
      </c>
      <c r="I199" t="s">
        <v>92</v>
      </c>
      <c r="J199" t="s">
        <v>42</v>
      </c>
      <c r="K199" t="s">
        <v>42</v>
      </c>
      <c r="L199" t="s">
        <v>42</v>
      </c>
      <c r="M199" t="s">
        <v>42</v>
      </c>
      <c r="N199" s="39" t="s">
        <v>132</v>
      </c>
      <c r="O199" t="s">
        <v>86</v>
      </c>
      <c r="P199" s="39" t="s">
        <v>386</v>
      </c>
      <c r="Q199" t="s">
        <v>383</v>
      </c>
      <c r="R199" t="s">
        <v>42</v>
      </c>
      <c r="S199" t="s">
        <v>387</v>
      </c>
      <c r="T199" t="s">
        <v>42</v>
      </c>
      <c r="U199" t="s">
        <v>42</v>
      </c>
      <c r="V199" t="s">
        <v>42</v>
      </c>
      <c r="W199" s="8" t="s">
        <v>64</v>
      </c>
      <c r="X199" t="s">
        <v>42</v>
      </c>
      <c r="Y199" s="8">
        <v>1</v>
      </c>
      <c r="Z199">
        <v>0</v>
      </c>
      <c r="AA199">
        <v>0</v>
      </c>
      <c r="AB199">
        <v>0</v>
      </c>
      <c r="AC199" s="5">
        <v>1999</v>
      </c>
      <c r="AD199" s="1">
        <v>2000</v>
      </c>
      <c r="AE199" s="6">
        <f t="shared" si="4"/>
        <v>1</v>
      </c>
      <c r="AF199">
        <v>26</v>
      </c>
      <c r="AG199" t="s">
        <v>64</v>
      </c>
      <c r="AH199" t="s">
        <v>64</v>
      </c>
    </row>
    <row r="200" spans="1:34" ht="14.5">
      <c r="A200" t="s">
        <v>380</v>
      </c>
      <c r="B200" t="s">
        <v>381</v>
      </c>
      <c r="C200" s="24">
        <v>4</v>
      </c>
      <c r="D200" t="s">
        <v>38</v>
      </c>
      <c r="E200" t="s">
        <v>38</v>
      </c>
      <c r="F200" t="s">
        <v>39</v>
      </c>
      <c r="G200" t="s">
        <v>40</v>
      </c>
      <c r="H200" t="s">
        <v>91</v>
      </c>
      <c r="I200" t="s">
        <v>92</v>
      </c>
      <c r="J200" t="s">
        <v>252</v>
      </c>
      <c r="K200" t="s">
        <v>42</v>
      </c>
      <c r="L200" t="s">
        <v>42</v>
      </c>
      <c r="M200" t="s">
        <v>42</v>
      </c>
      <c r="N200" s="39" t="s">
        <v>132</v>
      </c>
      <c r="O200" t="s">
        <v>44</v>
      </c>
      <c r="P200" s="39" t="s">
        <v>388</v>
      </c>
      <c r="Q200" t="s">
        <v>254</v>
      </c>
      <c r="R200" t="s">
        <v>255</v>
      </c>
      <c r="S200" t="s">
        <v>389</v>
      </c>
      <c r="T200" t="s">
        <v>390</v>
      </c>
      <c r="U200" t="s">
        <v>42</v>
      </c>
      <c r="V200" t="s">
        <v>42</v>
      </c>
      <c r="W200" s="8" t="s">
        <v>50</v>
      </c>
      <c r="X200" t="s">
        <v>391</v>
      </c>
      <c r="Y200" s="8">
        <v>1</v>
      </c>
      <c r="Z200">
        <v>0</v>
      </c>
      <c r="AA200">
        <v>0</v>
      </c>
      <c r="AB200">
        <v>0</v>
      </c>
      <c r="AC200" s="5">
        <v>1995</v>
      </c>
      <c r="AD200" s="1">
        <v>1999</v>
      </c>
      <c r="AE200" s="6">
        <f t="shared" si="4"/>
        <v>4</v>
      </c>
      <c r="AF200">
        <v>25</v>
      </c>
      <c r="AG200" t="s">
        <v>64</v>
      </c>
      <c r="AH200" t="s">
        <v>64</v>
      </c>
    </row>
    <row r="201" spans="1:34" ht="14.5">
      <c r="A201" t="s">
        <v>380</v>
      </c>
      <c r="B201" t="s">
        <v>381</v>
      </c>
      <c r="C201" s="24">
        <v>5</v>
      </c>
      <c r="D201" t="s">
        <v>38</v>
      </c>
      <c r="E201" t="s">
        <v>38</v>
      </c>
      <c r="F201" t="s">
        <v>39</v>
      </c>
      <c r="G201" t="s">
        <v>40</v>
      </c>
      <c r="H201" t="s">
        <v>91</v>
      </c>
      <c r="I201" t="s">
        <v>92</v>
      </c>
      <c r="J201" t="s">
        <v>252</v>
      </c>
      <c r="K201" t="s">
        <v>42</v>
      </c>
      <c r="L201" t="s">
        <v>42</v>
      </c>
      <c r="M201" t="s">
        <v>42</v>
      </c>
      <c r="N201" s="39" t="s">
        <v>43</v>
      </c>
      <c r="O201" t="s">
        <v>44</v>
      </c>
      <c r="P201" s="39" t="s">
        <v>392</v>
      </c>
      <c r="Q201" t="s">
        <v>254</v>
      </c>
      <c r="R201" t="s">
        <v>255</v>
      </c>
      <c r="S201" t="s">
        <v>160</v>
      </c>
      <c r="T201" t="s">
        <v>42</v>
      </c>
      <c r="U201" t="s">
        <v>42</v>
      </c>
      <c r="V201" t="s">
        <v>42</v>
      </c>
      <c r="W201" s="8" t="s">
        <v>50</v>
      </c>
      <c r="X201" t="s">
        <v>393</v>
      </c>
      <c r="Y201" s="8">
        <v>1</v>
      </c>
      <c r="Z201">
        <v>0</v>
      </c>
      <c r="AA201">
        <v>0</v>
      </c>
      <c r="AB201">
        <v>0</v>
      </c>
      <c r="AC201" s="5">
        <v>1995</v>
      </c>
      <c r="AD201" s="1">
        <v>1999</v>
      </c>
      <c r="AE201" s="6">
        <f t="shared" si="4"/>
        <v>4</v>
      </c>
      <c r="AF201" t="s">
        <v>42</v>
      </c>
      <c r="AG201" t="s">
        <v>64</v>
      </c>
      <c r="AH201" t="s">
        <v>64</v>
      </c>
    </row>
    <row r="202" spans="1:34" ht="14.5">
      <c r="A202" t="s">
        <v>380</v>
      </c>
      <c r="B202" t="s">
        <v>381</v>
      </c>
      <c r="C202" s="24">
        <v>6</v>
      </c>
      <c r="D202" t="s">
        <v>38</v>
      </c>
      <c r="E202" t="s">
        <v>38</v>
      </c>
      <c r="F202" t="s">
        <v>39</v>
      </c>
      <c r="G202" t="s">
        <v>40</v>
      </c>
      <c r="H202" t="s">
        <v>91</v>
      </c>
      <c r="I202" t="s">
        <v>92</v>
      </c>
      <c r="J202" t="s">
        <v>252</v>
      </c>
      <c r="K202" t="s">
        <v>42</v>
      </c>
      <c r="L202" t="s">
        <v>42</v>
      </c>
      <c r="M202" t="s">
        <v>42</v>
      </c>
      <c r="N202" s="39" t="s">
        <v>132</v>
      </c>
      <c r="O202" t="s">
        <v>44</v>
      </c>
      <c r="P202" s="39" t="s">
        <v>366</v>
      </c>
      <c r="Q202" t="s">
        <v>254</v>
      </c>
      <c r="R202" t="s">
        <v>255</v>
      </c>
      <c r="S202" t="s">
        <v>367</v>
      </c>
      <c r="T202" t="s">
        <v>42</v>
      </c>
      <c r="U202" t="s">
        <v>42</v>
      </c>
      <c r="V202" t="s">
        <v>42</v>
      </c>
      <c r="W202" s="8" t="s">
        <v>50</v>
      </c>
      <c r="X202" t="s">
        <v>394</v>
      </c>
      <c r="Y202" s="8">
        <v>1</v>
      </c>
      <c r="Z202">
        <v>0</v>
      </c>
      <c r="AA202">
        <v>0</v>
      </c>
      <c r="AB202">
        <v>0</v>
      </c>
      <c r="AC202" s="5">
        <v>1995</v>
      </c>
      <c r="AD202" s="1">
        <v>1997</v>
      </c>
      <c r="AE202" s="6">
        <f t="shared" si="4"/>
        <v>2</v>
      </c>
      <c r="AF202">
        <v>32</v>
      </c>
      <c r="AG202" t="s">
        <v>64</v>
      </c>
      <c r="AH202" t="s">
        <v>64</v>
      </c>
    </row>
    <row r="203" spans="1:34" s="9" customFormat="1" ht="14.5">
      <c r="A203" s="9" t="s">
        <v>380</v>
      </c>
      <c r="B203" s="9" t="s">
        <v>381</v>
      </c>
      <c r="C203" s="25">
        <v>7</v>
      </c>
      <c r="D203" s="9" t="s">
        <v>38</v>
      </c>
      <c r="E203" s="9" t="s">
        <v>38</v>
      </c>
      <c r="F203" s="9" t="s">
        <v>39</v>
      </c>
      <c r="G203" s="9" t="s">
        <v>40</v>
      </c>
      <c r="H203" s="9" t="s">
        <v>91</v>
      </c>
      <c r="I203" s="9" t="s">
        <v>92</v>
      </c>
      <c r="J203" s="9" t="s">
        <v>252</v>
      </c>
      <c r="K203" s="9" t="s">
        <v>42</v>
      </c>
      <c r="L203" s="9" t="s">
        <v>42</v>
      </c>
      <c r="M203" s="9" t="s">
        <v>42</v>
      </c>
      <c r="N203" s="40" t="s">
        <v>43</v>
      </c>
      <c r="O203" s="9" t="s">
        <v>44</v>
      </c>
      <c r="P203" s="40" t="s">
        <v>379</v>
      </c>
      <c r="Q203" s="9" t="s">
        <v>254</v>
      </c>
      <c r="R203" s="9" t="s">
        <v>255</v>
      </c>
      <c r="S203" s="9" t="s">
        <v>136</v>
      </c>
      <c r="T203" s="9" t="s">
        <v>42</v>
      </c>
      <c r="U203" s="9" t="s">
        <v>42</v>
      </c>
      <c r="V203" s="9" t="s">
        <v>42</v>
      </c>
      <c r="W203" s="11" t="s">
        <v>50</v>
      </c>
      <c r="X203" s="9" t="s">
        <v>393</v>
      </c>
      <c r="Y203" s="11">
        <v>1</v>
      </c>
      <c r="Z203" s="9">
        <v>0</v>
      </c>
      <c r="AA203" s="9">
        <v>0</v>
      </c>
      <c r="AB203" s="9">
        <v>0</v>
      </c>
      <c r="AC203" s="12">
        <v>1995</v>
      </c>
      <c r="AD203" s="10">
        <v>1997</v>
      </c>
      <c r="AE203" s="13">
        <f t="shared" si="4"/>
        <v>2</v>
      </c>
      <c r="AF203" s="9">
        <v>7</v>
      </c>
      <c r="AG203" s="9" t="s">
        <v>64</v>
      </c>
      <c r="AH203" s="9" t="s">
        <v>64</v>
      </c>
    </row>
    <row r="204" spans="1:34" ht="14.5">
      <c r="A204" t="s">
        <v>395</v>
      </c>
      <c r="B204" t="s">
        <v>396</v>
      </c>
      <c r="C204" s="24">
        <v>1</v>
      </c>
      <c r="D204" t="s">
        <v>397</v>
      </c>
      <c r="E204" t="s">
        <v>397</v>
      </c>
      <c r="F204" t="s">
        <v>116</v>
      </c>
      <c r="G204" t="s">
        <v>40</v>
      </c>
      <c r="H204" t="s">
        <v>42</v>
      </c>
      <c r="I204" t="s">
        <v>42</v>
      </c>
      <c r="J204" t="s">
        <v>42</v>
      </c>
      <c r="K204" t="s">
        <v>398</v>
      </c>
      <c r="L204" t="s">
        <v>42</v>
      </c>
      <c r="M204" s="1" t="s">
        <v>42</v>
      </c>
      <c r="N204" s="39" t="s">
        <v>399</v>
      </c>
      <c r="O204" t="s">
        <v>86</v>
      </c>
      <c r="P204" s="39" t="s">
        <v>399</v>
      </c>
      <c r="Q204" t="s">
        <v>108</v>
      </c>
      <c r="R204" t="s">
        <v>109</v>
      </c>
      <c r="S204" t="s">
        <v>400</v>
      </c>
      <c r="T204" t="s">
        <v>42</v>
      </c>
      <c r="U204" t="s">
        <v>42</v>
      </c>
      <c r="V204" t="s">
        <v>42</v>
      </c>
      <c r="W204" s="8" t="s">
        <v>64</v>
      </c>
      <c r="X204" t="s">
        <v>42</v>
      </c>
      <c r="Y204" s="8">
        <v>0</v>
      </c>
      <c r="Z204">
        <v>0</v>
      </c>
      <c r="AA204">
        <v>478</v>
      </c>
      <c r="AB204">
        <v>0</v>
      </c>
      <c r="AC204">
        <v>2015</v>
      </c>
      <c r="AD204">
        <v>2015</v>
      </c>
      <c r="AE204" s="6" t="s">
        <v>72</v>
      </c>
      <c r="AF204">
        <v>1</v>
      </c>
      <c r="AG204" t="s">
        <v>64</v>
      </c>
      <c r="AH204" s="1" t="s">
        <v>64</v>
      </c>
    </row>
    <row r="205" spans="1:34" ht="14.5">
      <c r="A205" t="s">
        <v>395</v>
      </c>
      <c r="B205" t="s">
        <v>396</v>
      </c>
      <c r="C205" s="24">
        <v>2</v>
      </c>
      <c r="D205" t="s">
        <v>397</v>
      </c>
      <c r="E205" t="s">
        <v>397</v>
      </c>
      <c r="F205" t="s">
        <v>116</v>
      </c>
      <c r="G205" t="s">
        <v>40</v>
      </c>
      <c r="H205" t="s">
        <v>42</v>
      </c>
      <c r="I205" t="s">
        <v>42</v>
      </c>
      <c r="J205" t="s">
        <v>42</v>
      </c>
      <c r="K205" t="s">
        <v>398</v>
      </c>
      <c r="L205" t="s">
        <v>401</v>
      </c>
      <c r="M205" s="1" t="s">
        <v>42</v>
      </c>
      <c r="N205" s="39" t="s">
        <v>402</v>
      </c>
      <c r="O205" t="s">
        <v>86</v>
      </c>
      <c r="P205" s="39" t="s">
        <v>403</v>
      </c>
      <c r="Q205" t="s">
        <v>108</v>
      </c>
      <c r="R205" t="s">
        <v>109</v>
      </c>
      <c r="S205" t="s">
        <v>404</v>
      </c>
      <c r="T205" t="s">
        <v>42</v>
      </c>
      <c r="U205" t="s">
        <v>42</v>
      </c>
      <c r="V205" t="s">
        <v>42</v>
      </c>
      <c r="W205" s="8" t="s">
        <v>64</v>
      </c>
      <c r="X205" t="s">
        <v>42</v>
      </c>
      <c r="Y205" s="8">
        <v>0</v>
      </c>
      <c r="Z205">
        <v>0</v>
      </c>
      <c r="AA205">
        <v>478</v>
      </c>
      <c r="AB205">
        <v>0</v>
      </c>
      <c r="AC205">
        <v>2015</v>
      </c>
      <c r="AD205">
        <v>2015</v>
      </c>
      <c r="AE205" s="6" t="s">
        <v>72</v>
      </c>
      <c r="AF205">
        <v>1</v>
      </c>
      <c r="AG205" t="s">
        <v>64</v>
      </c>
      <c r="AH205" s="1" t="s">
        <v>64</v>
      </c>
    </row>
    <row r="206" spans="1:34" ht="14.5">
      <c r="A206" t="s">
        <v>395</v>
      </c>
      <c r="B206" t="s">
        <v>396</v>
      </c>
      <c r="C206" s="24">
        <v>3</v>
      </c>
      <c r="D206" t="s">
        <v>397</v>
      </c>
      <c r="E206" t="s">
        <v>397</v>
      </c>
      <c r="F206" t="s">
        <v>116</v>
      </c>
      <c r="G206" t="s">
        <v>40</v>
      </c>
      <c r="H206" t="s">
        <v>42</v>
      </c>
      <c r="I206" t="s">
        <v>42</v>
      </c>
      <c r="J206" t="s">
        <v>42</v>
      </c>
      <c r="K206" t="s">
        <v>398</v>
      </c>
      <c r="L206" t="s">
        <v>42</v>
      </c>
      <c r="M206" s="1" t="s">
        <v>42</v>
      </c>
      <c r="N206" s="39" t="s">
        <v>399</v>
      </c>
      <c r="O206" t="s">
        <v>44</v>
      </c>
      <c r="P206" s="39" t="s">
        <v>399</v>
      </c>
      <c r="Q206" t="s">
        <v>94</v>
      </c>
      <c r="R206" t="s">
        <v>405</v>
      </c>
      <c r="S206" t="s">
        <v>400</v>
      </c>
      <c r="T206" t="s">
        <v>42</v>
      </c>
      <c r="U206" t="s">
        <v>42</v>
      </c>
      <c r="V206" t="s">
        <v>42</v>
      </c>
      <c r="W206" s="8" t="s">
        <v>50</v>
      </c>
      <c r="X206" t="s">
        <v>406</v>
      </c>
      <c r="Y206" s="8">
        <v>0</v>
      </c>
      <c r="Z206">
        <v>196</v>
      </c>
      <c r="AA206">
        <v>478</v>
      </c>
      <c r="AB206">
        <v>0</v>
      </c>
      <c r="AC206">
        <v>2015</v>
      </c>
      <c r="AD206">
        <v>2015</v>
      </c>
      <c r="AE206" s="6" t="s">
        <v>72</v>
      </c>
      <c r="AF206">
        <v>1</v>
      </c>
      <c r="AG206" t="s">
        <v>64</v>
      </c>
      <c r="AH206" s="1" t="s">
        <v>64</v>
      </c>
    </row>
    <row r="207" spans="1:34" ht="14.5">
      <c r="A207" t="s">
        <v>395</v>
      </c>
      <c r="B207" t="s">
        <v>396</v>
      </c>
      <c r="C207" s="24">
        <v>4</v>
      </c>
      <c r="D207" t="s">
        <v>397</v>
      </c>
      <c r="E207" t="s">
        <v>397</v>
      </c>
      <c r="F207" t="s">
        <v>116</v>
      </c>
      <c r="G207" t="s">
        <v>40</v>
      </c>
      <c r="H207" t="s">
        <v>42</v>
      </c>
      <c r="I207" t="s">
        <v>42</v>
      </c>
      <c r="J207" t="s">
        <v>42</v>
      </c>
      <c r="K207" t="s">
        <v>398</v>
      </c>
      <c r="L207" t="s">
        <v>401</v>
      </c>
      <c r="M207" s="1" t="s">
        <v>42</v>
      </c>
      <c r="N207" s="39" t="s">
        <v>402</v>
      </c>
      <c r="O207" t="s">
        <v>44</v>
      </c>
      <c r="P207" s="39" t="s">
        <v>403</v>
      </c>
      <c r="Q207" t="s">
        <v>94</v>
      </c>
      <c r="R207" t="s">
        <v>113</v>
      </c>
      <c r="S207" t="s">
        <v>404</v>
      </c>
      <c r="T207" t="s">
        <v>42</v>
      </c>
      <c r="U207" t="s">
        <v>42</v>
      </c>
      <c r="V207" t="s">
        <v>42</v>
      </c>
      <c r="W207" s="8" t="s">
        <v>50</v>
      </c>
      <c r="X207" t="s">
        <v>407</v>
      </c>
      <c r="Y207" s="8">
        <v>0</v>
      </c>
      <c r="Z207">
        <v>196</v>
      </c>
      <c r="AA207">
        <v>478</v>
      </c>
      <c r="AB207">
        <v>0</v>
      </c>
      <c r="AC207">
        <v>2000</v>
      </c>
      <c r="AD207">
        <v>2015</v>
      </c>
      <c r="AE207" s="6">
        <f>AD207-AC207</f>
        <v>15</v>
      </c>
      <c r="AF207">
        <v>16</v>
      </c>
      <c r="AG207" t="s">
        <v>64</v>
      </c>
      <c r="AH207" s="1" t="s">
        <v>64</v>
      </c>
    </row>
    <row r="208" spans="1:34" ht="14.5">
      <c r="A208" t="s">
        <v>395</v>
      </c>
      <c r="B208" t="s">
        <v>396</v>
      </c>
      <c r="C208" s="24">
        <v>5</v>
      </c>
      <c r="D208" t="s">
        <v>397</v>
      </c>
      <c r="E208" t="s">
        <v>397</v>
      </c>
      <c r="F208" t="s">
        <v>116</v>
      </c>
      <c r="G208" t="s">
        <v>40</v>
      </c>
      <c r="H208" t="s">
        <v>42</v>
      </c>
      <c r="I208" t="s">
        <v>42</v>
      </c>
      <c r="J208" t="s">
        <v>42</v>
      </c>
      <c r="K208" t="s">
        <v>398</v>
      </c>
      <c r="L208" t="s">
        <v>42</v>
      </c>
      <c r="M208" s="1" t="s">
        <v>42</v>
      </c>
      <c r="N208" s="39" t="s">
        <v>399</v>
      </c>
      <c r="O208" t="s">
        <v>44</v>
      </c>
      <c r="P208" s="39" t="s">
        <v>399</v>
      </c>
      <c r="Q208" t="s">
        <v>46</v>
      </c>
      <c r="R208" t="s">
        <v>42</v>
      </c>
      <c r="S208" t="s">
        <v>408</v>
      </c>
      <c r="T208" t="s">
        <v>42</v>
      </c>
      <c r="U208" t="s">
        <v>42</v>
      </c>
      <c r="V208" t="s">
        <v>42</v>
      </c>
      <c r="W208" s="8" t="s">
        <v>50</v>
      </c>
      <c r="X208" t="s">
        <v>406</v>
      </c>
      <c r="Y208" s="8">
        <v>0</v>
      </c>
      <c r="Z208">
        <v>196</v>
      </c>
      <c r="AA208">
        <v>478</v>
      </c>
      <c r="AB208">
        <v>0</v>
      </c>
      <c r="AC208">
        <v>2015</v>
      </c>
      <c r="AD208">
        <v>2015</v>
      </c>
      <c r="AE208" s="6" t="s">
        <v>72</v>
      </c>
      <c r="AF208">
        <v>1</v>
      </c>
      <c r="AG208" t="s">
        <v>64</v>
      </c>
      <c r="AH208" s="1" t="s">
        <v>64</v>
      </c>
    </row>
    <row r="209" spans="1:34" ht="14.5">
      <c r="A209" t="s">
        <v>395</v>
      </c>
      <c r="B209" t="s">
        <v>396</v>
      </c>
      <c r="C209" s="24">
        <v>6</v>
      </c>
      <c r="D209" t="s">
        <v>397</v>
      </c>
      <c r="E209" t="s">
        <v>397</v>
      </c>
      <c r="F209" t="s">
        <v>116</v>
      </c>
      <c r="G209" t="s">
        <v>40</v>
      </c>
      <c r="H209" t="s">
        <v>42</v>
      </c>
      <c r="I209" t="s">
        <v>42</v>
      </c>
      <c r="J209" t="s">
        <v>42</v>
      </c>
      <c r="K209" t="s">
        <v>398</v>
      </c>
      <c r="L209" t="s">
        <v>401</v>
      </c>
      <c r="M209" s="1" t="s">
        <v>42</v>
      </c>
      <c r="N209" s="39" t="s">
        <v>402</v>
      </c>
      <c r="O209" t="s">
        <v>44</v>
      </c>
      <c r="P209" s="39" t="s">
        <v>403</v>
      </c>
      <c r="Q209" t="s">
        <v>46</v>
      </c>
      <c r="R209" t="s">
        <v>42</v>
      </c>
      <c r="S209" t="s">
        <v>404</v>
      </c>
      <c r="T209" t="s">
        <v>42</v>
      </c>
      <c r="U209" t="s">
        <v>42</v>
      </c>
      <c r="V209" t="s">
        <v>42</v>
      </c>
      <c r="W209" s="8" t="s">
        <v>50</v>
      </c>
      <c r="X209" t="s">
        <v>407</v>
      </c>
      <c r="Y209" s="8">
        <v>0</v>
      </c>
      <c r="Z209">
        <v>196</v>
      </c>
      <c r="AA209">
        <v>478</v>
      </c>
      <c r="AB209">
        <v>0</v>
      </c>
      <c r="AC209">
        <v>2000</v>
      </c>
      <c r="AD209">
        <v>2015</v>
      </c>
      <c r="AE209" s="6">
        <f>AD209-AC209</f>
        <v>15</v>
      </c>
      <c r="AF209">
        <v>16</v>
      </c>
      <c r="AG209" t="s">
        <v>64</v>
      </c>
      <c r="AH209" s="1" t="s">
        <v>64</v>
      </c>
    </row>
    <row r="210" spans="1:34" ht="14.5">
      <c r="A210" t="s">
        <v>395</v>
      </c>
      <c r="B210" t="s">
        <v>396</v>
      </c>
      <c r="C210" s="24">
        <v>7</v>
      </c>
      <c r="D210" t="s">
        <v>397</v>
      </c>
      <c r="E210" t="s">
        <v>397</v>
      </c>
      <c r="F210" t="s">
        <v>116</v>
      </c>
      <c r="G210" t="s">
        <v>40</v>
      </c>
      <c r="H210" t="s">
        <v>42</v>
      </c>
      <c r="I210" t="s">
        <v>42</v>
      </c>
      <c r="J210" t="s">
        <v>42</v>
      </c>
      <c r="K210" t="s">
        <v>398</v>
      </c>
      <c r="L210" t="s">
        <v>42</v>
      </c>
      <c r="M210" s="1" t="s">
        <v>42</v>
      </c>
      <c r="N210" s="39" t="s">
        <v>399</v>
      </c>
      <c r="O210" t="s">
        <v>44</v>
      </c>
      <c r="P210" s="39" t="s">
        <v>399</v>
      </c>
      <c r="Q210" t="s">
        <v>102</v>
      </c>
      <c r="R210" t="s">
        <v>103</v>
      </c>
      <c r="S210" t="s">
        <v>400</v>
      </c>
      <c r="T210" t="s">
        <v>42</v>
      </c>
      <c r="U210" t="s">
        <v>42</v>
      </c>
      <c r="V210" t="s">
        <v>42</v>
      </c>
      <c r="W210" s="8" t="s">
        <v>50</v>
      </c>
      <c r="X210" t="s">
        <v>406</v>
      </c>
      <c r="Y210" s="8">
        <v>0</v>
      </c>
      <c r="Z210">
        <v>196</v>
      </c>
      <c r="AA210">
        <v>478</v>
      </c>
      <c r="AB210">
        <v>0</v>
      </c>
      <c r="AC210">
        <v>2015</v>
      </c>
      <c r="AD210">
        <v>2015</v>
      </c>
      <c r="AE210" s="6" t="s">
        <v>72</v>
      </c>
      <c r="AF210">
        <v>1</v>
      </c>
      <c r="AG210" t="s">
        <v>64</v>
      </c>
      <c r="AH210" s="1" t="s">
        <v>64</v>
      </c>
    </row>
    <row r="211" spans="1:34" s="9" customFormat="1" ht="14.5">
      <c r="A211" s="9" t="s">
        <v>395</v>
      </c>
      <c r="B211" s="9" t="s">
        <v>396</v>
      </c>
      <c r="C211" s="25">
        <v>8</v>
      </c>
      <c r="D211" s="9" t="s">
        <v>397</v>
      </c>
      <c r="E211" s="9" t="s">
        <v>397</v>
      </c>
      <c r="F211" s="9" t="s">
        <v>116</v>
      </c>
      <c r="G211" s="9" t="s">
        <v>40</v>
      </c>
      <c r="H211" s="9" t="s">
        <v>42</v>
      </c>
      <c r="I211" s="9" t="s">
        <v>42</v>
      </c>
      <c r="J211" s="9" t="s">
        <v>42</v>
      </c>
      <c r="K211" s="9" t="s">
        <v>398</v>
      </c>
      <c r="L211" s="9" t="s">
        <v>401</v>
      </c>
      <c r="M211" s="10" t="s">
        <v>42</v>
      </c>
      <c r="N211" s="39" t="s">
        <v>402</v>
      </c>
      <c r="O211" s="9" t="s">
        <v>44</v>
      </c>
      <c r="P211" s="40" t="s">
        <v>403</v>
      </c>
      <c r="Q211" s="9" t="s">
        <v>102</v>
      </c>
      <c r="R211" s="9" t="s">
        <v>103</v>
      </c>
      <c r="S211" s="9" t="s">
        <v>404</v>
      </c>
      <c r="T211" s="9" t="s">
        <v>42</v>
      </c>
      <c r="U211" s="9" t="s">
        <v>42</v>
      </c>
      <c r="V211" s="9" t="s">
        <v>42</v>
      </c>
      <c r="W211" s="11" t="s">
        <v>50</v>
      </c>
      <c r="X211" s="9" t="s">
        <v>407</v>
      </c>
      <c r="Y211" s="11">
        <v>0</v>
      </c>
      <c r="Z211" s="9">
        <v>196</v>
      </c>
      <c r="AA211" s="9">
        <v>478</v>
      </c>
      <c r="AB211" s="9">
        <v>0</v>
      </c>
      <c r="AC211" s="9">
        <v>2000</v>
      </c>
      <c r="AD211" s="9">
        <v>2015</v>
      </c>
      <c r="AE211" s="13">
        <f>AD211-AC211</f>
        <v>15</v>
      </c>
      <c r="AF211" s="9">
        <v>16</v>
      </c>
      <c r="AG211" s="9" t="s">
        <v>64</v>
      </c>
      <c r="AH211" s="10" t="s">
        <v>64</v>
      </c>
    </row>
    <row r="212" spans="1:34" ht="14.5">
      <c r="A212" t="s">
        <v>409</v>
      </c>
      <c r="B212" t="s">
        <v>410</v>
      </c>
      <c r="C212" s="24">
        <v>1</v>
      </c>
      <c r="D212" t="s">
        <v>38</v>
      </c>
      <c r="E212" t="s">
        <v>38</v>
      </c>
      <c r="F212" t="s">
        <v>39</v>
      </c>
      <c r="G212" t="s">
        <v>40</v>
      </c>
      <c r="H212" t="s">
        <v>339</v>
      </c>
      <c r="I212" t="s">
        <v>42</v>
      </c>
      <c r="J212" t="s">
        <v>42</v>
      </c>
      <c r="K212" t="s">
        <v>42</v>
      </c>
      <c r="L212" t="s">
        <v>42</v>
      </c>
      <c r="M212" t="s">
        <v>42</v>
      </c>
      <c r="N212" s="39" t="s">
        <v>52</v>
      </c>
      <c r="O212" t="s">
        <v>44</v>
      </c>
      <c r="P212" s="39" t="s">
        <v>411</v>
      </c>
      <c r="Q212" t="s">
        <v>46</v>
      </c>
      <c r="R212" t="s">
        <v>42</v>
      </c>
      <c r="S212" t="s">
        <v>59</v>
      </c>
      <c r="T212" t="s">
        <v>42</v>
      </c>
      <c r="U212" t="s">
        <v>42</v>
      </c>
      <c r="V212" t="s">
        <v>42</v>
      </c>
      <c r="W212" s="8" t="s">
        <v>50</v>
      </c>
      <c r="X212" t="s">
        <v>412</v>
      </c>
      <c r="Y212" s="8">
        <v>1</v>
      </c>
      <c r="Z212">
        <v>2</v>
      </c>
      <c r="AA212">
        <v>0</v>
      </c>
      <c r="AB212">
        <v>0</v>
      </c>
      <c r="AC212" s="5">
        <v>2016</v>
      </c>
      <c r="AD212" s="1">
        <v>2017</v>
      </c>
      <c r="AE212" s="6" t="s">
        <v>72</v>
      </c>
      <c r="AF212">
        <v>1</v>
      </c>
      <c r="AG212" t="s">
        <v>64</v>
      </c>
      <c r="AH212" s="1" t="s">
        <v>64</v>
      </c>
    </row>
    <row r="213" spans="1:34" ht="14.5">
      <c r="A213" t="s">
        <v>409</v>
      </c>
      <c r="B213" t="s">
        <v>410</v>
      </c>
      <c r="C213" s="24">
        <v>2</v>
      </c>
      <c r="D213" t="s">
        <v>38</v>
      </c>
      <c r="E213" t="s">
        <v>38</v>
      </c>
      <c r="F213" t="s">
        <v>39</v>
      </c>
      <c r="G213" t="s">
        <v>40</v>
      </c>
      <c r="H213" t="s">
        <v>339</v>
      </c>
      <c r="I213" t="s">
        <v>42</v>
      </c>
      <c r="J213" t="s">
        <v>42</v>
      </c>
      <c r="K213" t="s">
        <v>42</v>
      </c>
      <c r="L213" t="s">
        <v>42</v>
      </c>
      <c r="M213" t="s">
        <v>42</v>
      </c>
      <c r="N213" s="39" t="s">
        <v>52</v>
      </c>
      <c r="O213" t="s">
        <v>44</v>
      </c>
      <c r="P213" s="39" t="s">
        <v>413</v>
      </c>
      <c r="Q213" t="s">
        <v>46</v>
      </c>
      <c r="R213" t="s">
        <v>414</v>
      </c>
      <c r="S213" t="s">
        <v>415</v>
      </c>
      <c r="T213" t="s">
        <v>42</v>
      </c>
      <c r="U213" t="s">
        <v>42</v>
      </c>
      <c r="V213" t="s">
        <v>42</v>
      </c>
      <c r="W213" s="8" t="s">
        <v>50</v>
      </c>
      <c r="X213" s="20" t="s">
        <v>412</v>
      </c>
      <c r="Y213" s="8">
        <v>1</v>
      </c>
      <c r="Z213">
        <v>2</v>
      </c>
      <c r="AA213">
        <v>0</v>
      </c>
      <c r="AB213">
        <v>0</v>
      </c>
      <c r="AC213" s="5">
        <v>2016</v>
      </c>
      <c r="AD213" s="1">
        <v>2017</v>
      </c>
      <c r="AE213" s="6" t="s">
        <v>72</v>
      </c>
      <c r="AF213">
        <v>1</v>
      </c>
      <c r="AG213" t="s">
        <v>64</v>
      </c>
      <c r="AH213" s="1" t="s">
        <v>64</v>
      </c>
    </row>
    <row r="214" spans="1:34" ht="14.5">
      <c r="A214" t="s">
        <v>409</v>
      </c>
      <c r="B214" t="s">
        <v>410</v>
      </c>
      <c r="C214" s="24">
        <v>3</v>
      </c>
      <c r="D214" t="s">
        <v>38</v>
      </c>
      <c r="E214" t="s">
        <v>38</v>
      </c>
      <c r="F214" t="s">
        <v>39</v>
      </c>
      <c r="G214" t="s">
        <v>40</v>
      </c>
      <c r="H214" t="s">
        <v>41</v>
      </c>
      <c r="I214" t="s">
        <v>42</v>
      </c>
      <c r="J214" t="s">
        <v>42</v>
      </c>
      <c r="K214" t="s">
        <v>42</v>
      </c>
      <c r="L214" t="s">
        <v>42</v>
      </c>
      <c r="M214" t="s">
        <v>42</v>
      </c>
      <c r="N214" s="39" t="s">
        <v>79</v>
      </c>
      <c r="O214" t="s">
        <v>44</v>
      </c>
      <c r="P214" s="39" t="s">
        <v>201</v>
      </c>
      <c r="Q214" t="s">
        <v>416</v>
      </c>
      <c r="R214" t="s">
        <v>42</v>
      </c>
      <c r="S214" t="s">
        <v>202</v>
      </c>
      <c r="T214" t="s">
        <v>42</v>
      </c>
      <c r="U214" t="s">
        <v>42</v>
      </c>
      <c r="V214" t="s">
        <v>42</v>
      </c>
      <c r="W214" s="8" t="s">
        <v>50</v>
      </c>
      <c r="X214" t="s">
        <v>412</v>
      </c>
      <c r="Y214" s="8">
        <v>1</v>
      </c>
      <c r="Z214">
        <v>2</v>
      </c>
      <c r="AA214">
        <v>0</v>
      </c>
      <c r="AB214">
        <v>0</v>
      </c>
      <c r="AC214" s="5">
        <v>2016</v>
      </c>
      <c r="AD214" s="1">
        <v>2017</v>
      </c>
      <c r="AE214" s="6" t="s">
        <v>72</v>
      </c>
      <c r="AF214">
        <v>1</v>
      </c>
      <c r="AG214" t="s">
        <v>64</v>
      </c>
      <c r="AH214" s="1" t="s">
        <v>64</v>
      </c>
    </row>
    <row r="215" spans="1:34" ht="14.5">
      <c r="A215" t="s">
        <v>409</v>
      </c>
      <c r="B215" t="s">
        <v>410</v>
      </c>
      <c r="C215" s="24">
        <v>4</v>
      </c>
      <c r="D215" t="s">
        <v>38</v>
      </c>
      <c r="E215" t="s">
        <v>38</v>
      </c>
      <c r="F215" t="s">
        <v>39</v>
      </c>
      <c r="G215" t="s">
        <v>40</v>
      </c>
      <c r="H215" t="s">
        <v>41</v>
      </c>
      <c r="I215" t="s">
        <v>42</v>
      </c>
      <c r="J215" t="s">
        <v>42</v>
      </c>
      <c r="K215" t="s">
        <v>42</v>
      </c>
      <c r="L215" t="s">
        <v>42</v>
      </c>
      <c r="M215" t="s">
        <v>42</v>
      </c>
      <c r="N215" s="39" t="s">
        <v>79</v>
      </c>
      <c r="O215" t="s">
        <v>44</v>
      </c>
      <c r="P215" s="39" t="s">
        <v>417</v>
      </c>
      <c r="Q215" t="s">
        <v>416</v>
      </c>
      <c r="R215" t="s">
        <v>42</v>
      </c>
      <c r="S215" t="s">
        <v>418</v>
      </c>
      <c r="T215" t="s">
        <v>42</v>
      </c>
      <c r="U215" t="s">
        <v>42</v>
      </c>
      <c r="V215" t="s">
        <v>42</v>
      </c>
      <c r="W215" s="8" t="s">
        <v>50</v>
      </c>
      <c r="X215" s="20" t="s">
        <v>412</v>
      </c>
      <c r="Y215" s="8">
        <v>1</v>
      </c>
      <c r="Z215">
        <v>2</v>
      </c>
      <c r="AA215">
        <v>0</v>
      </c>
      <c r="AB215">
        <v>0</v>
      </c>
      <c r="AC215" s="5">
        <v>2016</v>
      </c>
      <c r="AD215" s="1">
        <v>2017</v>
      </c>
      <c r="AE215" s="6" t="s">
        <v>72</v>
      </c>
      <c r="AF215">
        <v>1</v>
      </c>
      <c r="AG215" t="s">
        <v>64</v>
      </c>
      <c r="AH215" s="1" t="s">
        <v>64</v>
      </c>
    </row>
    <row r="216" spans="1:34" ht="14.5">
      <c r="A216" t="s">
        <v>409</v>
      </c>
      <c r="B216" t="s">
        <v>410</v>
      </c>
      <c r="C216" s="24">
        <v>5</v>
      </c>
      <c r="D216" t="s">
        <v>38</v>
      </c>
      <c r="E216" t="s">
        <v>38</v>
      </c>
      <c r="F216" t="s">
        <v>39</v>
      </c>
      <c r="G216" t="s">
        <v>40</v>
      </c>
      <c r="H216" t="s">
        <v>41</v>
      </c>
      <c r="I216" t="s">
        <v>42</v>
      </c>
      <c r="J216" t="s">
        <v>42</v>
      </c>
      <c r="K216" t="s">
        <v>42</v>
      </c>
      <c r="L216" t="s">
        <v>42</v>
      </c>
      <c r="M216" t="s">
        <v>42</v>
      </c>
      <c r="N216" s="39" t="s">
        <v>269</v>
      </c>
      <c r="O216" t="s">
        <v>44</v>
      </c>
      <c r="P216" s="39" t="s">
        <v>269</v>
      </c>
      <c r="Q216" t="s">
        <v>416</v>
      </c>
      <c r="R216" t="s">
        <v>42</v>
      </c>
      <c r="S216" t="s">
        <v>419</v>
      </c>
      <c r="T216" t="s">
        <v>42</v>
      </c>
      <c r="U216" t="s">
        <v>42</v>
      </c>
      <c r="V216" t="s">
        <v>42</v>
      </c>
      <c r="W216" s="8" t="s">
        <v>50</v>
      </c>
      <c r="X216" t="s">
        <v>412</v>
      </c>
      <c r="Y216" s="8">
        <v>1</v>
      </c>
      <c r="Z216">
        <v>2</v>
      </c>
      <c r="AA216">
        <v>0</v>
      </c>
      <c r="AB216">
        <v>0</v>
      </c>
      <c r="AC216" s="5">
        <v>2016</v>
      </c>
      <c r="AD216" s="1">
        <v>2017</v>
      </c>
      <c r="AE216" s="6" t="s">
        <v>72</v>
      </c>
      <c r="AF216">
        <v>1</v>
      </c>
      <c r="AG216" t="s">
        <v>64</v>
      </c>
      <c r="AH216" s="1" t="s">
        <v>64</v>
      </c>
    </row>
    <row r="217" spans="1:34" ht="14.5">
      <c r="A217" t="s">
        <v>409</v>
      </c>
      <c r="B217" t="s">
        <v>410</v>
      </c>
      <c r="C217" s="24">
        <v>6</v>
      </c>
      <c r="D217" t="s">
        <v>38</v>
      </c>
      <c r="E217" t="s">
        <v>38</v>
      </c>
      <c r="F217" t="s">
        <v>39</v>
      </c>
      <c r="G217" t="s">
        <v>40</v>
      </c>
      <c r="H217" t="s">
        <v>41</v>
      </c>
      <c r="I217" t="s">
        <v>42</v>
      </c>
      <c r="J217" t="s">
        <v>42</v>
      </c>
      <c r="K217" t="s">
        <v>42</v>
      </c>
      <c r="L217" t="s">
        <v>42</v>
      </c>
      <c r="M217" t="s">
        <v>42</v>
      </c>
      <c r="N217" s="39" t="s">
        <v>269</v>
      </c>
      <c r="O217" t="s">
        <v>44</v>
      </c>
      <c r="P217" s="39" t="s">
        <v>325</v>
      </c>
      <c r="Q217" t="s">
        <v>416</v>
      </c>
      <c r="R217" t="s">
        <v>42</v>
      </c>
      <c r="S217" t="s">
        <v>420</v>
      </c>
      <c r="T217" t="s">
        <v>42</v>
      </c>
      <c r="U217" t="s">
        <v>42</v>
      </c>
      <c r="V217" t="s">
        <v>42</v>
      </c>
      <c r="W217" s="8" t="s">
        <v>50</v>
      </c>
      <c r="X217" s="20" t="s">
        <v>412</v>
      </c>
      <c r="Y217" s="8">
        <v>1</v>
      </c>
      <c r="Z217">
        <v>2</v>
      </c>
      <c r="AA217">
        <v>0</v>
      </c>
      <c r="AB217">
        <v>0</v>
      </c>
      <c r="AC217" s="5">
        <v>2016</v>
      </c>
      <c r="AD217" s="1">
        <v>2017</v>
      </c>
      <c r="AE217" s="6" t="s">
        <v>72</v>
      </c>
      <c r="AF217">
        <v>1</v>
      </c>
      <c r="AG217" t="s">
        <v>64</v>
      </c>
      <c r="AH217" s="1" t="s">
        <v>64</v>
      </c>
    </row>
    <row r="218" spans="1:34" ht="14.5">
      <c r="A218" t="s">
        <v>409</v>
      </c>
      <c r="B218" t="s">
        <v>410</v>
      </c>
      <c r="C218" s="24">
        <v>7</v>
      </c>
      <c r="D218" t="s">
        <v>38</v>
      </c>
      <c r="E218" t="s">
        <v>38</v>
      </c>
      <c r="F218" t="s">
        <v>39</v>
      </c>
      <c r="G218" t="s">
        <v>40</v>
      </c>
      <c r="H218" t="s">
        <v>41</v>
      </c>
      <c r="I218" t="s">
        <v>42</v>
      </c>
      <c r="J218" t="s">
        <v>42</v>
      </c>
      <c r="K218" t="s">
        <v>42</v>
      </c>
      <c r="L218" t="s">
        <v>42</v>
      </c>
      <c r="M218" t="s">
        <v>42</v>
      </c>
      <c r="N218" s="39" t="s">
        <v>52</v>
      </c>
      <c r="O218" t="s">
        <v>44</v>
      </c>
      <c r="P218" s="39" t="s">
        <v>132</v>
      </c>
      <c r="Q218" t="s">
        <v>102</v>
      </c>
      <c r="R218" t="s">
        <v>103</v>
      </c>
      <c r="S218" t="s">
        <v>69</v>
      </c>
      <c r="T218" t="s">
        <v>42</v>
      </c>
      <c r="U218" t="s">
        <v>42</v>
      </c>
      <c r="V218" t="s">
        <v>42</v>
      </c>
      <c r="W218" s="8" t="s">
        <v>50</v>
      </c>
      <c r="X218" s="20" t="s">
        <v>412</v>
      </c>
      <c r="Y218" s="8">
        <v>1</v>
      </c>
      <c r="Z218">
        <v>2</v>
      </c>
      <c r="AA218">
        <v>0</v>
      </c>
      <c r="AB218">
        <v>0</v>
      </c>
      <c r="AC218" s="5">
        <v>2016</v>
      </c>
      <c r="AD218" s="1">
        <v>2017</v>
      </c>
      <c r="AE218" s="6" t="s">
        <v>72</v>
      </c>
      <c r="AF218">
        <v>1</v>
      </c>
      <c r="AG218" t="s">
        <v>64</v>
      </c>
      <c r="AH218" s="1" t="s">
        <v>64</v>
      </c>
    </row>
    <row r="219" spans="1:34" ht="14.5">
      <c r="A219" t="s">
        <v>409</v>
      </c>
      <c r="B219" t="s">
        <v>410</v>
      </c>
      <c r="C219" s="24">
        <v>8</v>
      </c>
      <c r="D219" t="s">
        <v>38</v>
      </c>
      <c r="E219" t="s">
        <v>38</v>
      </c>
      <c r="F219" t="s">
        <v>39</v>
      </c>
      <c r="G219" t="s">
        <v>40</v>
      </c>
      <c r="H219" t="s">
        <v>91</v>
      </c>
      <c r="I219" t="s">
        <v>42</v>
      </c>
      <c r="J219" t="s">
        <v>42</v>
      </c>
      <c r="K219" t="s">
        <v>42</v>
      </c>
      <c r="L219" t="s">
        <v>42</v>
      </c>
      <c r="M219" t="s">
        <v>42</v>
      </c>
      <c r="N219" s="39" t="s">
        <v>132</v>
      </c>
      <c r="O219" t="s">
        <v>44</v>
      </c>
      <c r="P219" s="39" t="s">
        <v>132</v>
      </c>
      <c r="Q219" t="s">
        <v>200</v>
      </c>
      <c r="R219" t="s">
        <v>42</v>
      </c>
      <c r="S219" t="s">
        <v>421</v>
      </c>
      <c r="T219" t="s">
        <v>42</v>
      </c>
      <c r="U219" t="s">
        <v>42</v>
      </c>
      <c r="V219" t="s">
        <v>42</v>
      </c>
      <c r="W219" s="8" t="s">
        <v>50</v>
      </c>
      <c r="X219" s="20" t="s">
        <v>412</v>
      </c>
      <c r="Y219" s="8">
        <v>1</v>
      </c>
      <c r="Z219">
        <v>2</v>
      </c>
      <c r="AA219">
        <v>0</v>
      </c>
      <c r="AB219">
        <v>0</v>
      </c>
      <c r="AC219" s="5">
        <v>2016</v>
      </c>
      <c r="AD219" s="1">
        <v>2017</v>
      </c>
      <c r="AE219" s="6" t="s">
        <v>72</v>
      </c>
      <c r="AF219">
        <v>1</v>
      </c>
      <c r="AG219" t="s">
        <v>64</v>
      </c>
      <c r="AH219" s="1" t="s">
        <v>64</v>
      </c>
    </row>
    <row r="220" spans="1:34" ht="14.5">
      <c r="A220" t="s">
        <v>409</v>
      </c>
      <c r="B220" t="s">
        <v>410</v>
      </c>
      <c r="C220" s="24">
        <v>9</v>
      </c>
      <c r="D220" t="s">
        <v>38</v>
      </c>
      <c r="E220" t="s">
        <v>38</v>
      </c>
      <c r="F220" t="s">
        <v>39</v>
      </c>
      <c r="G220" t="s">
        <v>40</v>
      </c>
      <c r="H220" t="s">
        <v>91</v>
      </c>
      <c r="I220" t="s">
        <v>42</v>
      </c>
      <c r="J220" t="s">
        <v>42</v>
      </c>
      <c r="K220" t="s">
        <v>42</v>
      </c>
      <c r="L220" t="s">
        <v>42</v>
      </c>
      <c r="M220" t="s">
        <v>42</v>
      </c>
      <c r="N220" s="39" t="s">
        <v>132</v>
      </c>
      <c r="O220" t="s">
        <v>44</v>
      </c>
      <c r="P220" s="39" t="s">
        <v>132</v>
      </c>
      <c r="Q220" t="s">
        <v>200</v>
      </c>
      <c r="R220" t="s">
        <v>42</v>
      </c>
      <c r="S220" t="s">
        <v>69</v>
      </c>
      <c r="T220" t="s">
        <v>42</v>
      </c>
      <c r="U220" t="s">
        <v>42</v>
      </c>
      <c r="V220" t="s">
        <v>42</v>
      </c>
      <c r="W220" s="8" t="s">
        <v>50</v>
      </c>
      <c r="X220" s="20" t="s">
        <v>412</v>
      </c>
      <c r="Y220" s="8">
        <v>1</v>
      </c>
      <c r="Z220">
        <v>2</v>
      </c>
      <c r="AA220">
        <v>0</v>
      </c>
      <c r="AB220">
        <v>0</v>
      </c>
      <c r="AC220" s="5">
        <v>2016</v>
      </c>
      <c r="AD220" s="1">
        <v>2017</v>
      </c>
      <c r="AE220" s="6" t="s">
        <v>72</v>
      </c>
      <c r="AF220">
        <v>1</v>
      </c>
      <c r="AG220" t="s">
        <v>64</v>
      </c>
      <c r="AH220" s="1" t="s">
        <v>64</v>
      </c>
    </row>
    <row r="221" spans="1:34" s="9" customFormat="1" ht="14.5">
      <c r="A221" s="9" t="s">
        <v>409</v>
      </c>
      <c r="B221" s="9" t="s">
        <v>410</v>
      </c>
      <c r="C221" s="25">
        <v>10</v>
      </c>
      <c r="D221" s="9" t="s">
        <v>38</v>
      </c>
      <c r="E221" s="9" t="s">
        <v>38</v>
      </c>
      <c r="F221" s="9" t="s">
        <v>39</v>
      </c>
      <c r="G221" s="9" t="s">
        <v>40</v>
      </c>
      <c r="H221" s="9" t="s">
        <v>339</v>
      </c>
      <c r="I221" s="9" t="s">
        <v>42</v>
      </c>
      <c r="J221" s="9" t="s">
        <v>42</v>
      </c>
      <c r="K221" s="9" t="s">
        <v>42</v>
      </c>
      <c r="L221" s="9" t="s">
        <v>42</v>
      </c>
      <c r="M221" s="9" t="s">
        <v>42</v>
      </c>
      <c r="N221" s="40" t="s">
        <v>132</v>
      </c>
      <c r="O221" s="9" t="s">
        <v>44</v>
      </c>
      <c r="P221" s="40" t="s">
        <v>422</v>
      </c>
      <c r="Q221" s="9" t="s">
        <v>423</v>
      </c>
      <c r="R221" s="9" t="s">
        <v>42</v>
      </c>
      <c r="S221" s="9" t="s">
        <v>88</v>
      </c>
      <c r="T221" s="9" t="s">
        <v>204</v>
      </c>
      <c r="U221" s="9" t="s">
        <v>42</v>
      </c>
      <c r="V221" s="9" t="s">
        <v>42</v>
      </c>
      <c r="W221" s="11" t="s">
        <v>50</v>
      </c>
      <c r="X221" s="21" t="s">
        <v>412</v>
      </c>
      <c r="Y221" s="11">
        <v>1</v>
      </c>
      <c r="Z221" s="9">
        <v>2</v>
      </c>
      <c r="AA221" s="9">
        <v>0</v>
      </c>
      <c r="AB221" s="9">
        <v>0</v>
      </c>
      <c r="AC221" s="12">
        <v>2016</v>
      </c>
      <c r="AD221" s="10">
        <v>2017</v>
      </c>
      <c r="AE221" s="13" t="s">
        <v>72</v>
      </c>
      <c r="AF221" s="9">
        <v>1</v>
      </c>
      <c r="AG221" s="9" t="s">
        <v>64</v>
      </c>
      <c r="AH221" s="10" t="s">
        <v>64</v>
      </c>
    </row>
    <row r="222" spans="1:34" ht="14.5">
      <c r="A222" t="s">
        <v>424</v>
      </c>
      <c r="B222" t="s">
        <v>425</v>
      </c>
      <c r="C222" s="24">
        <v>1</v>
      </c>
      <c r="D222" t="s">
        <v>426</v>
      </c>
      <c r="E222" t="s">
        <v>426</v>
      </c>
      <c r="F222" t="s">
        <v>123</v>
      </c>
      <c r="G222" t="s">
        <v>184</v>
      </c>
      <c r="H222" t="s">
        <v>427</v>
      </c>
      <c r="I222" t="s">
        <v>428</v>
      </c>
      <c r="J222" t="s">
        <v>42</v>
      </c>
      <c r="K222" t="s">
        <v>429</v>
      </c>
      <c r="L222" t="s">
        <v>42</v>
      </c>
      <c r="M222" s="1" t="s">
        <v>42</v>
      </c>
      <c r="N222" s="39" t="s">
        <v>430</v>
      </c>
      <c r="O222" t="s">
        <v>187</v>
      </c>
      <c r="P222" s="39" t="s">
        <v>431</v>
      </c>
      <c r="Q222" t="s">
        <v>42</v>
      </c>
      <c r="R222" t="s">
        <v>42</v>
      </c>
      <c r="S222" t="s">
        <v>42</v>
      </c>
      <c r="T222" t="s">
        <v>42</v>
      </c>
      <c r="U222" t="s">
        <v>432</v>
      </c>
      <c r="V222" t="s">
        <v>433</v>
      </c>
      <c r="W222" s="8" t="s">
        <v>64</v>
      </c>
      <c r="X222" t="s">
        <v>42</v>
      </c>
      <c r="Y222" s="8">
        <v>1</v>
      </c>
      <c r="Z222">
        <v>0</v>
      </c>
      <c r="AA222">
        <v>0</v>
      </c>
      <c r="AB222">
        <v>3</v>
      </c>
      <c r="AC222" s="5">
        <v>2011</v>
      </c>
      <c r="AD222" s="1">
        <v>2012</v>
      </c>
      <c r="AE222" s="6">
        <v>1</v>
      </c>
      <c r="AF222">
        <v>1</v>
      </c>
      <c r="AG222" t="s">
        <v>64</v>
      </c>
      <c r="AH222" s="1" t="s">
        <v>64</v>
      </c>
    </row>
    <row r="223" spans="1:34" ht="14.5">
      <c r="A223" t="s">
        <v>424</v>
      </c>
      <c r="B223" t="s">
        <v>425</v>
      </c>
      <c r="C223" s="24">
        <v>2</v>
      </c>
      <c r="D223" t="s">
        <v>426</v>
      </c>
      <c r="E223" t="s">
        <v>426</v>
      </c>
      <c r="F223" t="s">
        <v>123</v>
      </c>
      <c r="G223" t="s">
        <v>184</v>
      </c>
      <c r="H223" t="s">
        <v>427</v>
      </c>
      <c r="I223" t="s">
        <v>428</v>
      </c>
      <c r="J223" t="s">
        <v>42</v>
      </c>
      <c r="K223" t="s">
        <v>429</v>
      </c>
      <c r="L223" t="s">
        <v>42</v>
      </c>
      <c r="M223" s="1" t="s">
        <v>42</v>
      </c>
      <c r="N223" s="39" t="s">
        <v>430</v>
      </c>
      <c r="O223" t="s">
        <v>187</v>
      </c>
      <c r="P223" s="39" t="s">
        <v>434</v>
      </c>
      <c r="Q223" t="s">
        <v>42</v>
      </c>
      <c r="R223" t="s">
        <v>42</v>
      </c>
      <c r="S223" t="s">
        <v>42</v>
      </c>
      <c r="T223" t="s">
        <v>42</v>
      </c>
      <c r="U223" t="s">
        <v>432</v>
      </c>
      <c r="V223" t="s">
        <v>433</v>
      </c>
      <c r="W223" s="8" t="s">
        <v>64</v>
      </c>
      <c r="X223" t="s">
        <v>42</v>
      </c>
      <c r="Y223" s="8">
        <v>1</v>
      </c>
      <c r="Z223">
        <v>0</v>
      </c>
      <c r="AA223">
        <v>0</v>
      </c>
      <c r="AB223">
        <v>3</v>
      </c>
      <c r="AC223" s="5">
        <v>2011</v>
      </c>
      <c r="AD223" s="1">
        <v>2012</v>
      </c>
      <c r="AE223" s="6">
        <v>1</v>
      </c>
      <c r="AF223">
        <v>1</v>
      </c>
      <c r="AG223" t="s">
        <v>64</v>
      </c>
      <c r="AH223" s="1" t="s">
        <v>64</v>
      </c>
    </row>
    <row r="224" spans="1:34" ht="14.5">
      <c r="A224" t="s">
        <v>424</v>
      </c>
      <c r="B224" t="s">
        <v>425</v>
      </c>
      <c r="C224" s="24">
        <v>3</v>
      </c>
      <c r="D224" t="s">
        <v>426</v>
      </c>
      <c r="E224" t="s">
        <v>426</v>
      </c>
      <c r="F224" t="s">
        <v>123</v>
      </c>
      <c r="G224" t="s">
        <v>184</v>
      </c>
      <c r="H224" t="s">
        <v>427</v>
      </c>
      <c r="I224" t="s">
        <v>428</v>
      </c>
      <c r="J224" t="s">
        <v>42</v>
      </c>
      <c r="K224" t="s">
        <v>429</v>
      </c>
      <c r="L224" t="s">
        <v>42</v>
      </c>
      <c r="M224" s="1" t="s">
        <v>42</v>
      </c>
      <c r="N224" s="39" t="s">
        <v>430</v>
      </c>
      <c r="O224" t="s">
        <v>187</v>
      </c>
      <c r="P224" s="39" t="s">
        <v>435</v>
      </c>
      <c r="Q224" t="s">
        <v>42</v>
      </c>
      <c r="R224" t="s">
        <v>42</v>
      </c>
      <c r="S224" t="s">
        <v>42</v>
      </c>
      <c r="T224" t="s">
        <v>42</v>
      </c>
      <c r="U224" t="s">
        <v>432</v>
      </c>
      <c r="V224" t="s">
        <v>433</v>
      </c>
      <c r="W224" s="8" t="s">
        <v>64</v>
      </c>
      <c r="X224" t="s">
        <v>42</v>
      </c>
      <c r="Y224" s="8">
        <v>1</v>
      </c>
      <c r="Z224">
        <v>0</v>
      </c>
      <c r="AA224">
        <v>0</v>
      </c>
      <c r="AB224">
        <v>3</v>
      </c>
      <c r="AC224" s="5">
        <v>2011</v>
      </c>
      <c r="AD224" s="1">
        <v>2012</v>
      </c>
      <c r="AE224" s="6">
        <v>1</v>
      </c>
      <c r="AF224">
        <v>1</v>
      </c>
      <c r="AG224" t="s">
        <v>64</v>
      </c>
      <c r="AH224" s="1" t="s">
        <v>64</v>
      </c>
    </row>
    <row r="225" spans="1:34" s="9" customFormat="1" ht="14.5">
      <c r="A225" s="9" t="s">
        <v>424</v>
      </c>
      <c r="B225" s="9" t="s">
        <v>425</v>
      </c>
      <c r="C225" s="25">
        <v>4</v>
      </c>
      <c r="D225" s="9" t="s">
        <v>426</v>
      </c>
      <c r="E225" s="9" t="s">
        <v>426</v>
      </c>
      <c r="F225" s="9" t="s">
        <v>123</v>
      </c>
      <c r="G225" s="9" t="s">
        <v>184</v>
      </c>
      <c r="H225" s="9" t="s">
        <v>427</v>
      </c>
      <c r="I225" s="9" t="s">
        <v>42</v>
      </c>
      <c r="J225" s="9" t="s">
        <v>42</v>
      </c>
      <c r="K225" s="9" t="s">
        <v>429</v>
      </c>
      <c r="L225" s="9" t="s">
        <v>42</v>
      </c>
      <c r="M225" s="10" t="s">
        <v>42</v>
      </c>
      <c r="N225" s="39" t="s">
        <v>430</v>
      </c>
      <c r="O225" s="9" t="s">
        <v>86</v>
      </c>
      <c r="P225" s="40" t="s">
        <v>436</v>
      </c>
      <c r="Q225" s="9" t="s">
        <v>42</v>
      </c>
      <c r="R225" s="9" t="s">
        <v>42</v>
      </c>
      <c r="S225" s="9" t="s">
        <v>42</v>
      </c>
      <c r="T225" s="9" t="s">
        <v>42</v>
      </c>
      <c r="U225" s="9" t="s">
        <v>437</v>
      </c>
      <c r="V225" s="9" t="s">
        <v>42</v>
      </c>
      <c r="W225" s="11" t="s">
        <v>64</v>
      </c>
      <c r="X225" s="9" t="s">
        <v>42</v>
      </c>
      <c r="Y225" s="11">
        <v>1</v>
      </c>
      <c r="Z225" s="9">
        <v>0</v>
      </c>
      <c r="AA225" s="9">
        <v>0</v>
      </c>
      <c r="AB225" s="9">
        <v>3</v>
      </c>
      <c r="AC225" s="12">
        <v>2012</v>
      </c>
      <c r="AD225" s="10">
        <v>2012</v>
      </c>
      <c r="AE225" s="13" t="s">
        <v>72</v>
      </c>
      <c r="AF225" s="9">
        <v>1</v>
      </c>
      <c r="AG225" s="9" t="s">
        <v>64</v>
      </c>
      <c r="AH225" s="10" t="s">
        <v>64</v>
      </c>
    </row>
    <row r="226" spans="1:34" ht="14.5">
      <c r="A226" t="s">
        <v>438</v>
      </c>
      <c r="B226" t="s">
        <v>439</v>
      </c>
      <c r="C226" s="24">
        <v>1</v>
      </c>
      <c r="D226" t="s">
        <v>440</v>
      </c>
      <c r="E226" t="s">
        <v>38</v>
      </c>
      <c r="F226" t="s">
        <v>116</v>
      </c>
      <c r="G226" t="s">
        <v>40</v>
      </c>
      <c r="H226" t="s">
        <v>42</v>
      </c>
      <c r="I226" t="s">
        <v>42</v>
      </c>
      <c r="J226" t="s">
        <v>42</v>
      </c>
      <c r="K226" t="s">
        <v>117</v>
      </c>
      <c r="L226" t="s">
        <v>42</v>
      </c>
      <c r="M226" s="1" t="s">
        <v>42</v>
      </c>
      <c r="N226" s="39" t="s">
        <v>402</v>
      </c>
      <c r="O226" t="s">
        <v>86</v>
      </c>
      <c r="P226" s="39" t="s">
        <v>441</v>
      </c>
      <c r="Q226" t="s">
        <v>77</v>
      </c>
      <c r="R226" t="s">
        <v>42</v>
      </c>
      <c r="S226" t="s">
        <v>442</v>
      </c>
      <c r="T226" t="s">
        <v>42</v>
      </c>
      <c r="U226" t="s">
        <v>42</v>
      </c>
      <c r="V226" t="s">
        <v>443</v>
      </c>
      <c r="W226" s="8" t="s">
        <v>64</v>
      </c>
      <c r="X226" t="s">
        <v>42</v>
      </c>
      <c r="Y226" s="8">
        <v>0</v>
      </c>
      <c r="Z226">
        <v>0</v>
      </c>
      <c r="AA226">
        <v>0</v>
      </c>
      <c r="AB226">
        <v>3</v>
      </c>
      <c r="AC226" s="5">
        <v>2000</v>
      </c>
      <c r="AD226" s="1">
        <v>2011</v>
      </c>
      <c r="AE226" s="6">
        <f>AD226-AC226</f>
        <v>11</v>
      </c>
      <c r="AF226">
        <v>12</v>
      </c>
      <c r="AG226" t="s">
        <v>64</v>
      </c>
      <c r="AH226" s="1" t="s">
        <v>64</v>
      </c>
    </row>
    <row r="227" spans="1:34" ht="15" customHeight="1">
      <c r="A227" t="s">
        <v>438</v>
      </c>
      <c r="B227" t="s">
        <v>439</v>
      </c>
      <c r="C227" s="24">
        <v>2</v>
      </c>
      <c r="D227" t="s">
        <v>440</v>
      </c>
      <c r="E227" t="s">
        <v>38</v>
      </c>
      <c r="F227" t="s">
        <v>116</v>
      </c>
      <c r="G227" t="s">
        <v>40</v>
      </c>
      <c r="H227" t="s">
        <v>42</v>
      </c>
      <c r="I227" t="s">
        <v>42</v>
      </c>
      <c r="J227" t="s">
        <v>42</v>
      </c>
      <c r="K227" t="s">
        <v>117</v>
      </c>
      <c r="L227" t="s">
        <v>42</v>
      </c>
      <c r="M227" s="1" t="s">
        <v>42</v>
      </c>
      <c r="N227" s="39" t="s">
        <v>402</v>
      </c>
      <c r="O227" t="s">
        <v>86</v>
      </c>
      <c r="P227" s="39" t="s">
        <v>441</v>
      </c>
      <c r="Q227" t="s">
        <v>102</v>
      </c>
      <c r="R227" t="s">
        <v>103</v>
      </c>
      <c r="S227" t="s">
        <v>442</v>
      </c>
      <c r="T227" t="s">
        <v>42</v>
      </c>
      <c r="U227" t="s">
        <v>42</v>
      </c>
      <c r="V227" t="s">
        <v>443</v>
      </c>
      <c r="W227" s="8" t="s">
        <v>64</v>
      </c>
      <c r="X227" t="s">
        <v>42</v>
      </c>
      <c r="Y227" s="8">
        <v>0</v>
      </c>
      <c r="Z227">
        <v>0</v>
      </c>
      <c r="AA227">
        <v>0</v>
      </c>
      <c r="AB227">
        <v>1</v>
      </c>
      <c r="AC227" s="5">
        <v>2000</v>
      </c>
      <c r="AD227" s="1">
        <v>2011</v>
      </c>
      <c r="AE227" s="6">
        <f>AD227-AC227</f>
        <v>11</v>
      </c>
      <c r="AF227">
        <v>12</v>
      </c>
      <c r="AG227" t="s">
        <v>64</v>
      </c>
      <c r="AH227" s="1" t="s">
        <v>64</v>
      </c>
    </row>
    <row r="228" spans="1:34" ht="15" customHeight="1">
      <c r="A228" t="s">
        <v>438</v>
      </c>
      <c r="B228" t="s">
        <v>439</v>
      </c>
      <c r="C228" s="24">
        <v>3</v>
      </c>
      <c r="D228" t="s">
        <v>440</v>
      </c>
      <c r="E228" t="s">
        <v>38</v>
      </c>
      <c r="F228" t="s">
        <v>116</v>
      </c>
      <c r="G228" t="s">
        <v>40</v>
      </c>
      <c r="H228" t="s">
        <v>42</v>
      </c>
      <c r="I228" t="s">
        <v>42</v>
      </c>
      <c r="J228" t="s">
        <v>42</v>
      </c>
      <c r="K228" t="s">
        <v>117</v>
      </c>
      <c r="L228" t="s">
        <v>42</v>
      </c>
      <c r="M228" s="1" t="s">
        <v>42</v>
      </c>
      <c r="N228" s="39" t="s">
        <v>402</v>
      </c>
      <c r="O228" t="s">
        <v>86</v>
      </c>
      <c r="P228" s="39" t="s">
        <v>441</v>
      </c>
      <c r="Q228" t="s">
        <v>46</v>
      </c>
      <c r="R228" t="s">
        <v>42</v>
      </c>
      <c r="S228" t="s">
        <v>442</v>
      </c>
      <c r="T228" t="s">
        <v>42</v>
      </c>
      <c r="U228" t="s">
        <v>42</v>
      </c>
      <c r="V228" t="s">
        <v>443</v>
      </c>
      <c r="W228" s="8" t="s">
        <v>64</v>
      </c>
      <c r="X228" t="s">
        <v>42</v>
      </c>
      <c r="Y228" s="8">
        <v>0</v>
      </c>
      <c r="Z228">
        <v>0</v>
      </c>
      <c r="AA228">
        <v>0</v>
      </c>
      <c r="AB228">
        <v>2</v>
      </c>
      <c r="AC228" s="5">
        <v>2000</v>
      </c>
      <c r="AD228" s="1">
        <v>2011</v>
      </c>
      <c r="AE228" s="6">
        <f>AD228-AC228</f>
        <v>11</v>
      </c>
      <c r="AF228">
        <v>12</v>
      </c>
      <c r="AG228" t="s">
        <v>64</v>
      </c>
      <c r="AH228" s="1" t="s">
        <v>64</v>
      </c>
    </row>
    <row r="229" spans="1:34" ht="15" customHeight="1">
      <c r="A229" t="s">
        <v>438</v>
      </c>
      <c r="B229" t="s">
        <v>439</v>
      </c>
      <c r="C229" s="24">
        <v>4</v>
      </c>
      <c r="D229" t="s">
        <v>440</v>
      </c>
      <c r="E229" t="s">
        <v>38</v>
      </c>
      <c r="F229" t="s">
        <v>116</v>
      </c>
      <c r="G229" t="s">
        <v>40</v>
      </c>
      <c r="H229" t="s">
        <v>42</v>
      </c>
      <c r="I229" t="s">
        <v>42</v>
      </c>
      <c r="J229" t="s">
        <v>42</v>
      </c>
      <c r="K229" t="s">
        <v>117</v>
      </c>
      <c r="L229" t="s">
        <v>42</v>
      </c>
      <c r="M229" s="1" t="s">
        <v>42</v>
      </c>
      <c r="N229" s="39" t="s">
        <v>402</v>
      </c>
      <c r="O229" t="s">
        <v>86</v>
      </c>
      <c r="P229" s="39" t="s">
        <v>441</v>
      </c>
      <c r="Q229" t="s">
        <v>108</v>
      </c>
      <c r="R229" t="s">
        <v>109</v>
      </c>
      <c r="S229" t="s">
        <v>442</v>
      </c>
      <c r="T229" t="s">
        <v>42</v>
      </c>
      <c r="U229" t="s">
        <v>42</v>
      </c>
      <c r="V229" t="s">
        <v>443</v>
      </c>
      <c r="W229" s="8" t="s">
        <v>64</v>
      </c>
      <c r="X229" t="s">
        <v>42</v>
      </c>
      <c r="Y229" s="8">
        <v>0</v>
      </c>
      <c r="Z229">
        <v>0</v>
      </c>
      <c r="AA229">
        <v>0</v>
      </c>
      <c r="AB229">
        <v>5</v>
      </c>
      <c r="AC229" s="5">
        <v>2000</v>
      </c>
      <c r="AD229" s="1">
        <v>2010</v>
      </c>
      <c r="AE229" s="6">
        <f>AD229-AC229</f>
        <v>10</v>
      </c>
      <c r="AF229">
        <v>11</v>
      </c>
      <c r="AG229" t="s">
        <v>64</v>
      </c>
      <c r="AH229" s="1" t="s">
        <v>64</v>
      </c>
    </row>
    <row r="230" spans="1:34" ht="15" customHeight="1">
      <c r="A230" t="s">
        <v>438</v>
      </c>
      <c r="B230" t="s">
        <v>439</v>
      </c>
      <c r="C230" s="24">
        <v>5</v>
      </c>
      <c r="D230" t="s">
        <v>440</v>
      </c>
      <c r="E230" t="s">
        <v>38</v>
      </c>
      <c r="F230" t="s">
        <v>116</v>
      </c>
      <c r="G230" t="s">
        <v>40</v>
      </c>
      <c r="H230" t="s">
        <v>42</v>
      </c>
      <c r="I230" t="s">
        <v>42</v>
      </c>
      <c r="J230" t="s">
        <v>42</v>
      </c>
      <c r="K230" t="s">
        <v>117</v>
      </c>
      <c r="L230" t="s">
        <v>42</v>
      </c>
      <c r="M230" s="1" t="s">
        <v>42</v>
      </c>
      <c r="N230" s="39" t="s">
        <v>402</v>
      </c>
      <c r="O230" t="s">
        <v>86</v>
      </c>
      <c r="P230" s="39" t="s">
        <v>441</v>
      </c>
      <c r="Q230" t="s">
        <v>94</v>
      </c>
      <c r="R230" s="9" t="s">
        <v>113</v>
      </c>
      <c r="S230" t="s">
        <v>442</v>
      </c>
      <c r="T230" t="s">
        <v>42</v>
      </c>
      <c r="U230" t="s">
        <v>42</v>
      </c>
      <c r="V230" t="s">
        <v>443</v>
      </c>
      <c r="W230" s="8" t="s">
        <v>64</v>
      </c>
      <c r="X230" t="s">
        <v>42</v>
      </c>
      <c r="Y230" s="8">
        <v>0</v>
      </c>
      <c r="Z230">
        <v>0</v>
      </c>
      <c r="AA230">
        <v>0</v>
      </c>
      <c r="AB230">
        <v>5</v>
      </c>
      <c r="AC230" s="5">
        <v>2000</v>
      </c>
      <c r="AD230" s="1">
        <v>2011</v>
      </c>
      <c r="AE230" s="6">
        <f>AD230-AC230</f>
        <v>11</v>
      </c>
      <c r="AF230">
        <v>12</v>
      </c>
      <c r="AG230" t="s">
        <v>64</v>
      </c>
      <c r="AH230" s="1" t="s">
        <v>64</v>
      </c>
    </row>
    <row r="231" spans="1:34" ht="15" customHeight="1">
      <c r="A231" t="s">
        <v>438</v>
      </c>
      <c r="B231" t="s">
        <v>439</v>
      </c>
      <c r="C231" s="24">
        <v>6</v>
      </c>
      <c r="D231" t="s">
        <v>440</v>
      </c>
      <c r="E231" t="s">
        <v>426</v>
      </c>
      <c r="F231" t="s">
        <v>39</v>
      </c>
      <c r="G231" t="s">
        <v>40</v>
      </c>
      <c r="H231" t="s">
        <v>444</v>
      </c>
      <c r="I231" t="s">
        <v>42</v>
      </c>
      <c r="J231" t="s">
        <v>42</v>
      </c>
      <c r="K231" t="s">
        <v>42</v>
      </c>
      <c r="L231" t="s">
        <v>42</v>
      </c>
      <c r="M231" s="1" t="s">
        <v>42</v>
      </c>
      <c r="N231" s="39" t="s">
        <v>402</v>
      </c>
      <c r="O231" t="s">
        <v>86</v>
      </c>
      <c r="P231" s="39" t="s">
        <v>445</v>
      </c>
      <c r="Q231" t="s">
        <v>108</v>
      </c>
      <c r="R231" t="s">
        <v>109</v>
      </c>
      <c r="S231" t="s">
        <v>446</v>
      </c>
      <c r="T231" t="s">
        <v>42</v>
      </c>
      <c r="U231" t="s">
        <v>447</v>
      </c>
      <c r="V231" t="s">
        <v>443</v>
      </c>
      <c r="W231" s="8" t="s">
        <v>64</v>
      </c>
      <c r="X231" t="s">
        <v>42</v>
      </c>
      <c r="Y231" s="8">
        <v>1</v>
      </c>
      <c r="Z231">
        <v>0</v>
      </c>
      <c r="AA231">
        <v>0</v>
      </c>
      <c r="AB231">
        <v>5</v>
      </c>
      <c r="AC231" s="5">
        <v>2014</v>
      </c>
      <c r="AD231" s="1">
        <v>2014</v>
      </c>
      <c r="AE231" s="6" t="s">
        <v>72</v>
      </c>
      <c r="AF231">
        <v>1</v>
      </c>
      <c r="AG231" t="s">
        <v>64</v>
      </c>
      <c r="AH231" s="1" t="s">
        <v>64</v>
      </c>
    </row>
    <row r="232" spans="1:34" ht="15" customHeight="1">
      <c r="A232" t="s">
        <v>438</v>
      </c>
      <c r="B232" t="s">
        <v>439</v>
      </c>
      <c r="C232" s="24">
        <v>7</v>
      </c>
      <c r="D232" t="s">
        <v>440</v>
      </c>
      <c r="E232" t="s">
        <v>426</v>
      </c>
      <c r="F232" t="s">
        <v>39</v>
      </c>
      <c r="G232" t="s">
        <v>40</v>
      </c>
      <c r="H232" t="s">
        <v>444</v>
      </c>
      <c r="I232" t="s">
        <v>42</v>
      </c>
      <c r="J232" t="s">
        <v>42</v>
      </c>
      <c r="K232" t="s">
        <v>42</v>
      </c>
      <c r="L232" t="s">
        <v>42</v>
      </c>
      <c r="M232" s="1" t="s">
        <v>42</v>
      </c>
      <c r="N232" s="39" t="s">
        <v>402</v>
      </c>
      <c r="O232" t="s">
        <v>86</v>
      </c>
      <c r="P232" s="39" t="s">
        <v>445</v>
      </c>
      <c r="Q232" t="s">
        <v>94</v>
      </c>
      <c r="R232" s="9" t="s">
        <v>113</v>
      </c>
      <c r="S232" t="s">
        <v>446</v>
      </c>
      <c r="T232" t="s">
        <v>42</v>
      </c>
      <c r="U232" t="s">
        <v>447</v>
      </c>
      <c r="V232" t="s">
        <v>443</v>
      </c>
      <c r="W232" s="8" t="s">
        <v>64</v>
      </c>
      <c r="X232" t="s">
        <v>42</v>
      </c>
      <c r="Y232" s="8">
        <v>1</v>
      </c>
      <c r="Z232">
        <v>0</v>
      </c>
      <c r="AA232">
        <v>0</v>
      </c>
      <c r="AB232">
        <v>5</v>
      </c>
      <c r="AC232" s="5">
        <v>2014</v>
      </c>
      <c r="AD232" s="1">
        <v>2014</v>
      </c>
      <c r="AE232" s="6" t="s">
        <v>72</v>
      </c>
      <c r="AF232">
        <v>1</v>
      </c>
      <c r="AG232" t="s">
        <v>64</v>
      </c>
      <c r="AH232" s="1" t="s">
        <v>64</v>
      </c>
    </row>
    <row r="233" spans="1:34" ht="15" customHeight="1">
      <c r="A233" t="s">
        <v>438</v>
      </c>
      <c r="B233" t="s">
        <v>439</v>
      </c>
      <c r="C233" s="24">
        <v>8</v>
      </c>
      <c r="D233" t="s">
        <v>440</v>
      </c>
      <c r="E233" t="s">
        <v>426</v>
      </c>
      <c r="F233" t="s">
        <v>39</v>
      </c>
      <c r="G233" t="s">
        <v>40</v>
      </c>
      <c r="H233" t="s">
        <v>444</v>
      </c>
      <c r="I233" t="s">
        <v>42</v>
      </c>
      <c r="J233" t="s">
        <v>42</v>
      </c>
      <c r="K233" t="s">
        <v>42</v>
      </c>
      <c r="L233" t="s">
        <v>42</v>
      </c>
      <c r="M233" s="1" t="s">
        <v>42</v>
      </c>
      <c r="N233" s="39" t="s">
        <v>402</v>
      </c>
      <c r="O233" t="s">
        <v>86</v>
      </c>
      <c r="P233" s="39" t="s">
        <v>445</v>
      </c>
      <c r="Q233" t="s">
        <v>102</v>
      </c>
      <c r="R233" t="s">
        <v>103</v>
      </c>
      <c r="S233" t="s">
        <v>446</v>
      </c>
      <c r="T233" t="s">
        <v>42</v>
      </c>
      <c r="U233" t="s">
        <v>447</v>
      </c>
      <c r="V233" t="s">
        <v>443</v>
      </c>
      <c r="W233" s="8" t="s">
        <v>64</v>
      </c>
      <c r="X233" t="s">
        <v>42</v>
      </c>
      <c r="Y233" s="8">
        <v>1</v>
      </c>
      <c r="Z233">
        <v>0</v>
      </c>
      <c r="AA233">
        <v>0</v>
      </c>
      <c r="AB233">
        <v>5</v>
      </c>
      <c r="AC233" s="5">
        <v>2014</v>
      </c>
      <c r="AD233" s="1">
        <v>2014</v>
      </c>
      <c r="AE233" s="6" t="s">
        <v>72</v>
      </c>
      <c r="AF233">
        <v>1</v>
      </c>
      <c r="AG233" t="s">
        <v>64</v>
      </c>
      <c r="AH233" s="1" t="s">
        <v>64</v>
      </c>
    </row>
    <row r="234" spans="1:34" ht="15" customHeight="1">
      <c r="A234" t="s">
        <v>438</v>
      </c>
      <c r="B234" t="s">
        <v>439</v>
      </c>
      <c r="C234" s="24">
        <v>9</v>
      </c>
      <c r="D234" t="s">
        <v>440</v>
      </c>
      <c r="E234" t="s">
        <v>426</v>
      </c>
      <c r="F234" t="s">
        <v>39</v>
      </c>
      <c r="G234" t="s">
        <v>40</v>
      </c>
      <c r="H234" t="s">
        <v>444</v>
      </c>
      <c r="I234" t="s">
        <v>42</v>
      </c>
      <c r="J234" t="s">
        <v>42</v>
      </c>
      <c r="K234" t="s">
        <v>42</v>
      </c>
      <c r="L234" t="s">
        <v>42</v>
      </c>
      <c r="M234" s="1" t="s">
        <v>42</v>
      </c>
      <c r="N234" s="39" t="s">
        <v>402</v>
      </c>
      <c r="O234" t="s">
        <v>86</v>
      </c>
      <c r="P234" s="39" t="s">
        <v>445</v>
      </c>
      <c r="Q234" t="s">
        <v>46</v>
      </c>
      <c r="R234" t="s">
        <v>42</v>
      </c>
      <c r="S234" t="s">
        <v>446</v>
      </c>
      <c r="T234" t="s">
        <v>42</v>
      </c>
      <c r="U234" t="s">
        <v>447</v>
      </c>
      <c r="V234" t="s">
        <v>443</v>
      </c>
      <c r="W234" s="8" t="s">
        <v>64</v>
      </c>
      <c r="X234" t="s">
        <v>42</v>
      </c>
      <c r="Y234" s="8">
        <v>1</v>
      </c>
      <c r="Z234">
        <v>0</v>
      </c>
      <c r="AA234">
        <v>0</v>
      </c>
      <c r="AB234">
        <v>5</v>
      </c>
      <c r="AC234" s="5">
        <v>2014</v>
      </c>
      <c r="AD234" s="1">
        <v>2014</v>
      </c>
      <c r="AE234" s="6" t="s">
        <v>72</v>
      </c>
      <c r="AF234">
        <v>1</v>
      </c>
      <c r="AG234" t="s">
        <v>64</v>
      </c>
      <c r="AH234" s="1" t="s">
        <v>64</v>
      </c>
    </row>
    <row r="235" spans="1:34" ht="15" customHeight="1">
      <c r="A235" t="s">
        <v>438</v>
      </c>
      <c r="B235" t="s">
        <v>439</v>
      </c>
      <c r="C235" s="24">
        <v>10</v>
      </c>
      <c r="D235" t="s">
        <v>440</v>
      </c>
      <c r="E235" t="s">
        <v>426</v>
      </c>
      <c r="F235" t="s">
        <v>39</v>
      </c>
      <c r="G235" t="s">
        <v>40</v>
      </c>
      <c r="H235" t="s">
        <v>444</v>
      </c>
      <c r="I235" t="s">
        <v>42</v>
      </c>
      <c r="J235" t="s">
        <v>42</v>
      </c>
      <c r="K235" t="s">
        <v>42</v>
      </c>
      <c r="L235" t="s">
        <v>42</v>
      </c>
      <c r="M235" s="1" t="s">
        <v>42</v>
      </c>
      <c r="N235" s="39" t="s">
        <v>402</v>
      </c>
      <c r="O235" t="s">
        <v>86</v>
      </c>
      <c r="P235" s="39" t="s">
        <v>445</v>
      </c>
      <c r="Q235" t="s">
        <v>77</v>
      </c>
      <c r="R235" t="s">
        <v>42</v>
      </c>
      <c r="S235" t="s">
        <v>446</v>
      </c>
      <c r="T235" t="s">
        <v>42</v>
      </c>
      <c r="U235" t="s">
        <v>447</v>
      </c>
      <c r="V235" t="s">
        <v>443</v>
      </c>
      <c r="W235" s="8" t="s">
        <v>64</v>
      </c>
      <c r="X235" t="s">
        <v>42</v>
      </c>
      <c r="Y235" s="8">
        <v>1</v>
      </c>
      <c r="Z235">
        <v>0</v>
      </c>
      <c r="AA235">
        <v>0</v>
      </c>
      <c r="AB235">
        <v>5</v>
      </c>
      <c r="AC235" s="5">
        <v>2014</v>
      </c>
      <c r="AD235" s="1">
        <v>2014</v>
      </c>
      <c r="AE235" s="6" t="s">
        <v>72</v>
      </c>
      <c r="AF235">
        <v>1</v>
      </c>
      <c r="AG235" t="s">
        <v>64</v>
      </c>
      <c r="AH235" s="1" t="s">
        <v>64</v>
      </c>
    </row>
    <row r="236" spans="1:34" ht="15" customHeight="1">
      <c r="A236" t="s">
        <v>438</v>
      </c>
      <c r="B236" t="s">
        <v>439</v>
      </c>
      <c r="C236" s="24">
        <v>11</v>
      </c>
      <c r="D236" t="s">
        <v>440</v>
      </c>
      <c r="E236" t="s">
        <v>426</v>
      </c>
      <c r="F236" t="s">
        <v>39</v>
      </c>
      <c r="G236" t="s">
        <v>40</v>
      </c>
      <c r="H236" t="s">
        <v>444</v>
      </c>
      <c r="I236" t="s">
        <v>42</v>
      </c>
      <c r="J236" t="s">
        <v>42</v>
      </c>
      <c r="K236" t="s">
        <v>42</v>
      </c>
      <c r="L236" t="s">
        <v>42</v>
      </c>
      <c r="M236" s="1" t="s">
        <v>42</v>
      </c>
      <c r="N236" s="39" t="s">
        <v>430</v>
      </c>
      <c r="O236" t="s">
        <v>86</v>
      </c>
      <c r="P236" s="38" t="s">
        <v>448</v>
      </c>
      <c r="Q236" t="s">
        <v>42</v>
      </c>
      <c r="R236" t="s">
        <v>42</v>
      </c>
      <c r="S236" t="s">
        <v>42</v>
      </c>
      <c r="T236" t="s">
        <v>42</v>
      </c>
      <c r="U236" t="s">
        <v>449</v>
      </c>
      <c r="V236" t="s">
        <v>443</v>
      </c>
      <c r="W236" s="8" t="s">
        <v>64</v>
      </c>
      <c r="X236" t="s">
        <v>42</v>
      </c>
      <c r="Y236" s="8">
        <v>1</v>
      </c>
      <c r="Z236">
        <v>6</v>
      </c>
      <c r="AA236">
        <v>0</v>
      </c>
      <c r="AB236">
        <v>5</v>
      </c>
      <c r="AC236" s="5">
        <v>2014</v>
      </c>
      <c r="AD236" s="1">
        <v>2014</v>
      </c>
      <c r="AE236" s="6" t="s">
        <v>72</v>
      </c>
      <c r="AF236">
        <v>1</v>
      </c>
      <c r="AG236" t="s">
        <v>64</v>
      </c>
      <c r="AH236" s="1" t="s">
        <v>64</v>
      </c>
    </row>
    <row r="237" spans="1:34" ht="15" customHeight="1">
      <c r="A237" t="s">
        <v>438</v>
      </c>
      <c r="B237" t="s">
        <v>439</v>
      </c>
      <c r="C237" s="24">
        <v>12</v>
      </c>
      <c r="D237" t="s">
        <v>440</v>
      </c>
      <c r="E237" t="s">
        <v>38</v>
      </c>
      <c r="F237" t="s">
        <v>39</v>
      </c>
      <c r="G237" t="s">
        <v>40</v>
      </c>
      <c r="H237" t="s">
        <v>41</v>
      </c>
      <c r="I237" t="s">
        <v>42</v>
      </c>
      <c r="J237" t="s">
        <v>42</v>
      </c>
      <c r="K237" t="s">
        <v>42</v>
      </c>
      <c r="L237" t="s">
        <v>42</v>
      </c>
      <c r="M237" s="1" t="s">
        <v>42</v>
      </c>
      <c r="N237" s="39" t="s">
        <v>57</v>
      </c>
      <c r="O237" t="s">
        <v>44</v>
      </c>
      <c r="P237" s="39" t="s">
        <v>57</v>
      </c>
      <c r="Q237" t="s">
        <v>77</v>
      </c>
      <c r="R237" t="s">
        <v>42</v>
      </c>
      <c r="S237" t="s">
        <v>450</v>
      </c>
      <c r="T237" t="s">
        <v>42</v>
      </c>
      <c r="U237" t="s">
        <v>42</v>
      </c>
      <c r="V237" t="s">
        <v>443</v>
      </c>
      <c r="W237" s="8" t="s">
        <v>50</v>
      </c>
      <c r="X237" t="s">
        <v>210</v>
      </c>
      <c r="Y237" s="8">
        <v>1</v>
      </c>
      <c r="Z237">
        <v>6</v>
      </c>
      <c r="AA237">
        <v>0</v>
      </c>
      <c r="AB237">
        <v>5</v>
      </c>
      <c r="AC237" s="5">
        <v>2012</v>
      </c>
      <c r="AD237" s="1">
        <v>2013</v>
      </c>
      <c r="AE237" s="6">
        <v>1</v>
      </c>
      <c r="AF237">
        <v>1</v>
      </c>
      <c r="AG237" t="s">
        <v>64</v>
      </c>
      <c r="AH237" s="1" t="s">
        <v>64</v>
      </c>
    </row>
    <row r="238" spans="1:34" ht="15" customHeight="1">
      <c r="A238" t="s">
        <v>438</v>
      </c>
      <c r="B238" t="s">
        <v>439</v>
      </c>
      <c r="C238" s="24">
        <v>13</v>
      </c>
      <c r="D238" t="s">
        <v>440</v>
      </c>
      <c r="E238" t="s">
        <v>38</v>
      </c>
      <c r="F238" t="s">
        <v>39</v>
      </c>
      <c r="G238" t="s">
        <v>40</v>
      </c>
      <c r="H238" t="s">
        <v>41</v>
      </c>
      <c r="I238" t="s">
        <v>42</v>
      </c>
      <c r="J238" t="s">
        <v>42</v>
      </c>
      <c r="K238" t="s">
        <v>42</v>
      </c>
      <c r="L238" t="s">
        <v>42</v>
      </c>
      <c r="M238" s="1" t="s">
        <v>42</v>
      </c>
      <c r="N238" s="39" t="s">
        <v>79</v>
      </c>
      <c r="O238" t="s">
        <v>44</v>
      </c>
      <c r="P238" s="39" t="s">
        <v>201</v>
      </c>
      <c r="Q238" t="s">
        <v>77</v>
      </c>
      <c r="R238" t="s">
        <v>42</v>
      </c>
      <c r="S238" t="s">
        <v>418</v>
      </c>
      <c r="T238" t="s">
        <v>42</v>
      </c>
      <c r="U238" t="s">
        <v>42</v>
      </c>
      <c r="V238" t="s">
        <v>443</v>
      </c>
      <c r="W238" s="8" t="s">
        <v>50</v>
      </c>
      <c r="X238" t="s">
        <v>451</v>
      </c>
      <c r="Y238" s="8">
        <v>1</v>
      </c>
      <c r="Z238">
        <v>6</v>
      </c>
      <c r="AA238">
        <v>0</v>
      </c>
      <c r="AB238">
        <v>5</v>
      </c>
      <c r="AC238" s="5">
        <v>2012</v>
      </c>
      <c r="AD238" s="1">
        <v>2013</v>
      </c>
      <c r="AE238" s="6">
        <v>1</v>
      </c>
      <c r="AF238">
        <v>1</v>
      </c>
      <c r="AG238" t="s">
        <v>64</v>
      </c>
      <c r="AH238" s="1" t="s">
        <v>64</v>
      </c>
    </row>
    <row r="239" spans="1:34" ht="15" customHeight="1">
      <c r="A239" t="s">
        <v>438</v>
      </c>
      <c r="B239" t="s">
        <v>439</v>
      </c>
      <c r="C239" s="24">
        <v>14</v>
      </c>
      <c r="D239" t="s">
        <v>440</v>
      </c>
      <c r="E239" t="s">
        <v>38</v>
      </c>
      <c r="F239" t="s">
        <v>39</v>
      </c>
      <c r="G239" t="s">
        <v>40</v>
      </c>
      <c r="H239" t="s">
        <v>41</v>
      </c>
      <c r="I239" t="s">
        <v>42</v>
      </c>
      <c r="J239" t="s">
        <v>42</v>
      </c>
      <c r="K239" t="s">
        <v>42</v>
      </c>
      <c r="L239" t="s">
        <v>42</v>
      </c>
      <c r="M239" s="1" t="s">
        <v>42</v>
      </c>
      <c r="N239" s="39" t="s">
        <v>57</v>
      </c>
      <c r="O239" t="s">
        <v>44</v>
      </c>
      <c r="P239" s="39" t="s">
        <v>57</v>
      </c>
      <c r="Q239" t="s">
        <v>452</v>
      </c>
      <c r="R239" t="s">
        <v>42</v>
      </c>
      <c r="S239" t="s">
        <v>450</v>
      </c>
      <c r="T239" t="s">
        <v>42</v>
      </c>
      <c r="U239" t="s">
        <v>42</v>
      </c>
      <c r="V239" t="s">
        <v>443</v>
      </c>
      <c r="W239" s="8" t="s">
        <v>50</v>
      </c>
      <c r="X239" t="s">
        <v>210</v>
      </c>
      <c r="Y239" s="8">
        <v>1</v>
      </c>
      <c r="Z239">
        <v>6</v>
      </c>
      <c r="AA239">
        <v>0</v>
      </c>
      <c r="AB239">
        <v>5</v>
      </c>
      <c r="AC239" s="5">
        <v>2012</v>
      </c>
      <c r="AD239" s="1">
        <v>2013</v>
      </c>
      <c r="AE239" s="6">
        <v>1</v>
      </c>
      <c r="AF239">
        <v>1</v>
      </c>
      <c r="AG239" t="s">
        <v>64</v>
      </c>
      <c r="AH239" s="1" t="s">
        <v>64</v>
      </c>
    </row>
    <row r="240" spans="1:34" ht="15" customHeight="1">
      <c r="A240" t="s">
        <v>438</v>
      </c>
      <c r="B240" t="s">
        <v>439</v>
      </c>
      <c r="C240" s="24">
        <v>15</v>
      </c>
      <c r="D240" t="s">
        <v>440</v>
      </c>
      <c r="E240" t="s">
        <v>38</v>
      </c>
      <c r="F240" t="s">
        <v>39</v>
      </c>
      <c r="G240" t="s">
        <v>40</v>
      </c>
      <c r="H240" t="s">
        <v>41</v>
      </c>
      <c r="I240" t="s">
        <v>42</v>
      </c>
      <c r="J240" t="s">
        <v>42</v>
      </c>
      <c r="K240" t="s">
        <v>42</v>
      </c>
      <c r="L240" t="s">
        <v>42</v>
      </c>
      <c r="M240" s="1" t="s">
        <v>42</v>
      </c>
      <c r="N240" s="39" t="s">
        <v>79</v>
      </c>
      <c r="O240" t="s">
        <v>44</v>
      </c>
      <c r="P240" s="39" t="s">
        <v>201</v>
      </c>
      <c r="Q240" t="s">
        <v>452</v>
      </c>
      <c r="R240" t="s">
        <v>42</v>
      </c>
      <c r="S240" t="s">
        <v>418</v>
      </c>
      <c r="T240" t="s">
        <v>42</v>
      </c>
      <c r="U240" t="s">
        <v>42</v>
      </c>
      <c r="V240" t="s">
        <v>443</v>
      </c>
      <c r="W240" s="8" t="s">
        <v>50</v>
      </c>
      <c r="X240" t="s">
        <v>451</v>
      </c>
      <c r="Y240" s="8">
        <v>1</v>
      </c>
      <c r="Z240">
        <v>6</v>
      </c>
      <c r="AA240">
        <v>0</v>
      </c>
      <c r="AB240">
        <v>5</v>
      </c>
      <c r="AC240" s="5">
        <v>2012</v>
      </c>
      <c r="AD240" s="1">
        <v>2013</v>
      </c>
      <c r="AE240" s="6">
        <v>1</v>
      </c>
      <c r="AF240">
        <v>1</v>
      </c>
      <c r="AG240" t="s">
        <v>64</v>
      </c>
      <c r="AH240" s="1" t="s">
        <v>64</v>
      </c>
    </row>
    <row r="241" spans="1:39" ht="15" customHeight="1">
      <c r="A241" t="s">
        <v>438</v>
      </c>
      <c r="B241" t="s">
        <v>439</v>
      </c>
      <c r="C241" s="24">
        <v>16</v>
      </c>
      <c r="D241" t="s">
        <v>440</v>
      </c>
      <c r="E241" t="s">
        <v>38</v>
      </c>
      <c r="F241" t="s">
        <v>39</v>
      </c>
      <c r="G241" t="s">
        <v>40</v>
      </c>
      <c r="H241" t="s">
        <v>41</v>
      </c>
      <c r="I241" t="s">
        <v>42</v>
      </c>
      <c r="J241" t="s">
        <v>42</v>
      </c>
      <c r="K241" t="s">
        <v>42</v>
      </c>
      <c r="L241" t="s">
        <v>42</v>
      </c>
      <c r="M241" s="1" t="s">
        <v>42</v>
      </c>
      <c r="N241" s="39" t="s">
        <v>132</v>
      </c>
      <c r="O241" t="s">
        <v>44</v>
      </c>
      <c r="P241" s="39" t="s">
        <v>132</v>
      </c>
      <c r="Q241" t="s">
        <v>416</v>
      </c>
      <c r="R241" t="s">
        <v>42</v>
      </c>
      <c r="S241" t="s">
        <v>69</v>
      </c>
      <c r="T241" t="s">
        <v>42</v>
      </c>
      <c r="U241" t="s">
        <v>42</v>
      </c>
      <c r="V241" t="s">
        <v>443</v>
      </c>
      <c r="W241" s="8" t="s">
        <v>50</v>
      </c>
      <c r="X241" t="s">
        <v>210</v>
      </c>
      <c r="Y241" s="8">
        <v>1</v>
      </c>
      <c r="Z241">
        <v>6</v>
      </c>
      <c r="AA241">
        <v>0</v>
      </c>
      <c r="AB241">
        <v>5</v>
      </c>
      <c r="AC241" s="5">
        <v>2012</v>
      </c>
      <c r="AD241" s="1">
        <v>2013</v>
      </c>
      <c r="AE241" s="6">
        <v>1</v>
      </c>
      <c r="AF241">
        <v>1</v>
      </c>
      <c r="AG241" t="s">
        <v>64</v>
      </c>
      <c r="AH241" s="1" t="s">
        <v>64</v>
      </c>
    </row>
    <row r="242" spans="1:39" s="9" customFormat="1" ht="15" customHeight="1">
      <c r="A242" s="9" t="s">
        <v>438</v>
      </c>
      <c r="B242" s="9" t="s">
        <v>439</v>
      </c>
      <c r="C242" s="25">
        <v>17</v>
      </c>
      <c r="D242" s="9" t="s">
        <v>440</v>
      </c>
      <c r="E242" s="9" t="s">
        <v>38</v>
      </c>
      <c r="F242" s="9" t="s">
        <v>39</v>
      </c>
      <c r="G242" s="9" t="s">
        <v>40</v>
      </c>
      <c r="H242" s="9" t="s">
        <v>41</v>
      </c>
      <c r="I242" s="9" t="s">
        <v>42</v>
      </c>
      <c r="J242" s="9" t="s">
        <v>42</v>
      </c>
      <c r="K242" s="9" t="s">
        <v>42</v>
      </c>
      <c r="L242" s="9" t="s">
        <v>42</v>
      </c>
      <c r="M242" s="10" t="s">
        <v>42</v>
      </c>
      <c r="N242" s="40" t="s">
        <v>79</v>
      </c>
      <c r="O242" s="9" t="s">
        <v>44</v>
      </c>
      <c r="P242" s="40" t="s">
        <v>79</v>
      </c>
      <c r="Q242" s="9" t="s">
        <v>416</v>
      </c>
      <c r="R242" s="9" t="s">
        <v>42</v>
      </c>
      <c r="S242" s="9" t="s">
        <v>418</v>
      </c>
      <c r="T242" s="9" t="s">
        <v>42</v>
      </c>
      <c r="U242" s="9" t="s">
        <v>42</v>
      </c>
      <c r="V242" s="9" t="s">
        <v>443</v>
      </c>
      <c r="W242" s="11" t="s">
        <v>50</v>
      </c>
      <c r="X242" s="9" t="s">
        <v>451</v>
      </c>
      <c r="Y242" s="11">
        <v>1</v>
      </c>
      <c r="Z242" s="9">
        <v>6</v>
      </c>
      <c r="AA242" s="9">
        <v>0</v>
      </c>
      <c r="AB242" s="9">
        <v>5</v>
      </c>
      <c r="AC242" s="12">
        <v>2012</v>
      </c>
      <c r="AD242" s="10">
        <v>2013</v>
      </c>
      <c r="AE242" s="13">
        <v>1</v>
      </c>
      <c r="AF242" s="9">
        <v>1</v>
      </c>
      <c r="AG242" s="9" t="s">
        <v>64</v>
      </c>
      <c r="AH242" s="10" t="s">
        <v>64</v>
      </c>
    </row>
    <row r="243" spans="1:39" ht="15" customHeight="1">
      <c r="A243" t="s">
        <v>453</v>
      </c>
      <c r="B243" t="s">
        <v>454</v>
      </c>
      <c r="C243" s="24">
        <v>1</v>
      </c>
      <c r="D243" t="s">
        <v>426</v>
      </c>
      <c r="E243" t="s">
        <v>426</v>
      </c>
      <c r="F243" t="s">
        <v>39</v>
      </c>
      <c r="G243" t="s">
        <v>40</v>
      </c>
      <c r="H243" t="s">
        <v>427</v>
      </c>
      <c r="I243" t="s">
        <v>455</v>
      </c>
      <c r="J243" t="s">
        <v>444</v>
      </c>
      <c r="K243" t="s">
        <v>42</v>
      </c>
      <c r="L243" t="s">
        <v>42</v>
      </c>
      <c r="M243" s="1" t="s">
        <v>42</v>
      </c>
      <c r="N243" s="39" t="s">
        <v>430</v>
      </c>
      <c r="O243" t="s">
        <v>187</v>
      </c>
      <c r="P243" s="39" t="s">
        <v>456</v>
      </c>
      <c r="Q243" t="s">
        <v>42</v>
      </c>
      <c r="R243" t="s">
        <v>42</v>
      </c>
      <c r="S243" t="s">
        <v>42</v>
      </c>
      <c r="T243" t="s">
        <v>457</v>
      </c>
      <c r="U243" t="s">
        <v>458</v>
      </c>
      <c r="V243" t="s">
        <v>42</v>
      </c>
      <c r="W243" s="8" t="s">
        <v>64</v>
      </c>
      <c r="X243" t="s">
        <v>42</v>
      </c>
      <c r="Y243" s="8">
        <v>0</v>
      </c>
      <c r="Z243">
        <v>0</v>
      </c>
      <c r="AA243">
        <v>8</v>
      </c>
      <c r="AB243">
        <v>0</v>
      </c>
      <c r="AC243" s="5">
        <v>2006</v>
      </c>
      <c r="AD243" s="1">
        <v>2006</v>
      </c>
      <c r="AE243" s="6" t="s">
        <v>72</v>
      </c>
      <c r="AF243">
        <v>1</v>
      </c>
      <c r="AG243" t="s">
        <v>64</v>
      </c>
      <c r="AH243" s="1" t="s">
        <v>64</v>
      </c>
    </row>
    <row r="244" spans="1:39" ht="15" customHeight="1">
      <c r="A244" t="s">
        <v>453</v>
      </c>
      <c r="B244" t="s">
        <v>454</v>
      </c>
      <c r="C244" s="24">
        <v>2</v>
      </c>
      <c r="D244" t="s">
        <v>426</v>
      </c>
      <c r="E244" t="s">
        <v>426</v>
      </c>
      <c r="F244" t="s">
        <v>39</v>
      </c>
      <c r="G244" t="s">
        <v>40</v>
      </c>
      <c r="H244" t="s">
        <v>427</v>
      </c>
      <c r="I244" t="s">
        <v>455</v>
      </c>
      <c r="J244" t="s">
        <v>444</v>
      </c>
      <c r="K244" t="s">
        <v>42</v>
      </c>
      <c r="L244" t="s">
        <v>42</v>
      </c>
      <c r="M244" s="1" t="s">
        <v>42</v>
      </c>
      <c r="N244" s="39" t="s">
        <v>430</v>
      </c>
      <c r="O244" t="s">
        <v>187</v>
      </c>
      <c r="P244" s="39" t="s">
        <v>434</v>
      </c>
      <c r="Q244" t="s">
        <v>42</v>
      </c>
      <c r="R244" t="s">
        <v>42</v>
      </c>
      <c r="S244" t="s">
        <v>42</v>
      </c>
      <c r="T244" t="s">
        <v>42</v>
      </c>
      <c r="U244" t="s">
        <v>458</v>
      </c>
      <c r="V244" t="s">
        <v>42</v>
      </c>
      <c r="W244" s="8" t="s">
        <v>64</v>
      </c>
      <c r="X244" t="s">
        <v>42</v>
      </c>
      <c r="Y244" s="8">
        <v>0</v>
      </c>
      <c r="Z244">
        <v>0</v>
      </c>
      <c r="AA244">
        <v>8</v>
      </c>
      <c r="AB244">
        <v>0</v>
      </c>
      <c r="AC244" s="5">
        <v>2006</v>
      </c>
      <c r="AD244" s="1">
        <v>2006</v>
      </c>
      <c r="AE244" s="6" t="s">
        <v>72</v>
      </c>
      <c r="AF244">
        <v>1</v>
      </c>
      <c r="AG244" t="s">
        <v>64</v>
      </c>
      <c r="AH244" s="1" t="s">
        <v>64</v>
      </c>
    </row>
    <row r="245" spans="1:39" ht="15" customHeight="1">
      <c r="A245" t="s">
        <v>453</v>
      </c>
      <c r="B245" t="s">
        <v>454</v>
      </c>
      <c r="C245" s="24">
        <v>3</v>
      </c>
      <c r="D245" t="s">
        <v>426</v>
      </c>
      <c r="E245" t="s">
        <v>426</v>
      </c>
      <c r="F245" t="s">
        <v>39</v>
      </c>
      <c r="G245" t="s">
        <v>40</v>
      </c>
      <c r="H245" t="s">
        <v>427</v>
      </c>
      <c r="I245" t="s">
        <v>455</v>
      </c>
      <c r="J245" t="s">
        <v>444</v>
      </c>
      <c r="K245" t="s">
        <v>42</v>
      </c>
      <c r="L245" t="s">
        <v>42</v>
      </c>
      <c r="M245" s="1" t="s">
        <v>42</v>
      </c>
      <c r="N245" s="39" t="s">
        <v>430</v>
      </c>
      <c r="O245" t="s">
        <v>187</v>
      </c>
      <c r="P245" s="39" t="s">
        <v>431</v>
      </c>
      <c r="Q245" t="s">
        <v>42</v>
      </c>
      <c r="R245" t="s">
        <v>42</v>
      </c>
      <c r="S245" t="s">
        <v>42</v>
      </c>
      <c r="T245" t="s">
        <v>42</v>
      </c>
      <c r="U245" t="s">
        <v>458</v>
      </c>
      <c r="V245" t="s">
        <v>42</v>
      </c>
      <c r="W245" s="8" t="s">
        <v>64</v>
      </c>
      <c r="X245" t="s">
        <v>42</v>
      </c>
      <c r="Y245" s="8">
        <v>0</v>
      </c>
      <c r="Z245">
        <v>0</v>
      </c>
      <c r="AA245">
        <v>8</v>
      </c>
      <c r="AB245">
        <v>0</v>
      </c>
      <c r="AC245" s="5">
        <v>2006</v>
      </c>
      <c r="AD245" s="1">
        <v>2006</v>
      </c>
      <c r="AE245" s="6" t="s">
        <v>72</v>
      </c>
      <c r="AF245">
        <v>1</v>
      </c>
      <c r="AG245" t="s">
        <v>64</v>
      </c>
      <c r="AH245" s="1" t="s">
        <v>64</v>
      </c>
    </row>
    <row r="246" spans="1:39" ht="15" customHeight="1">
      <c r="A246" t="s">
        <v>453</v>
      </c>
      <c r="B246" t="s">
        <v>454</v>
      </c>
      <c r="C246" s="24">
        <v>4</v>
      </c>
      <c r="D246" t="s">
        <v>426</v>
      </c>
      <c r="E246" t="s">
        <v>426</v>
      </c>
      <c r="F246" t="s">
        <v>39</v>
      </c>
      <c r="G246" t="s">
        <v>40</v>
      </c>
      <c r="H246" t="s">
        <v>427</v>
      </c>
      <c r="I246" t="s">
        <v>455</v>
      </c>
      <c r="J246" t="s">
        <v>444</v>
      </c>
      <c r="K246" t="s">
        <v>42</v>
      </c>
      <c r="L246" t="s">
        <v>42</v>
      </c>
      <c r="M246" s="1" t="s">
        <v>42</v>
      </c>
      <c r="N246" s="39" t="s">
        <v>430</v>
      </c>
      <c r="O246" t="s">
        <v>187</v>
      </c>
      <c r="P246" s="39" t="s">
        <v>435</v>
      </c>
      <c r="Q246" t="s">
        <v>42</v>
      </c>
      <c r="R246" t="s">
        <v>42</v>
      </c>
      <c r="S246" t="s">
        <v>42</v>
      </c>
      <c r="T246" t="s">
        <v>42</v>
      </c>
      <c r="U246" t="s">
        <v>458</v>
      </c>
      <c r="V246" t="s">
        <v>42</v>
      </c>
      <c r="W246" s="8" t="s">
        <v>64</v>
      </c>
      <c r="X246" t="s">
        <v>42</v>
      </c>
      <c r="Y246" s="8">
        <v>0</v>
      </c>
      <c r="Z246">
        <v>0</v>
      </c>
      <c r="AA246">
        <v>8</v>
      </c>
      <c r="AB246">
        <v>0</v>
      </c>
      <c r="AC246" s="5">
        <v>2006</v>
      </c>
      <c r="AD246" s="1">
        <v>2006</v>
      </c>
      <c r="AE246" s="6" t="s">
        <v>72</v>
      </c>
      <c r="AF246">
        <v>1</v>
      </c>
      <c r="AG246" t="s">
        <v>64</v>
      </c>
      <c r="AH246" s="1" t="s">
        <v>64</v>
      </c>
    </row>
    <row r="247" spans="1:39" ht="15" customHeight="1">
      <c r="A247" t="s">
        <v>453</v>
      </c>
      <c r="B247" t="s">
        <v>454</v>
      </c>
      <c r="C247" s="24">
        <v>5</v>
      </c>
      <c r="D247" t="s">
        <v>426</v>
      </c>
      <c r="E247" t="s">
        <v>426</v>
      </c>
      <c r="F247" t="s">
        <v>39</v>
      </c>
      <c r="G247" t="s">
        <v>40</v>
      </c>
      <c r="H247" t="s">
        <v>427</v>
      </c>
      <c r="I247" t="s">
        <v>455</v>
      </c>
      <c r="J247" t="s">
        <v>444</v>
      </c>
      <c r="K247" t="s">
        <v>42</v>
      </c>
      <c r="L247" t="s">
        <v>42</v>
      </c>
      <c r="M247" s="1" t="s">
        <v>42</v>
      </c>
      <c r="N247" s="39" t="s">
        <v>430</v>
      </c>
      <c r="O247" t="s">
        <v>187</v>
      </c>
      <c r="P247" s="39" t="s">
        <v>459</v>
      </c>
      <c r="Q247" t="s">
        <v>42</v>
      </c>
      <c r="R247" t="s">
        <v>42</v>
      </c>
      <c r="S247" t="s">
        <v>42</v>
      </c>
      <c r="T247" t="s">
        <v>42</v>
      </c>
      <c r="U247" t="s">
        <v>458</v>
      </c>
      <c r="V247" t="s">
        <v>42</v>
      </c>
      <c r="W247" s="8" t="s">
        <v>64</v>
      </c>
      <c r="X247" t="s">
        <v>42</v>
      </c>
      <c r="Y247" s="8">
        <v>0</v>
      </c>
      <c r="Z247">
        <v>0</v>
      </c>
      <c r="AA247">
        <v>8</v>
      </c>
      <c r="AB247">
        <v>0</v>
      </c>
      <c r="AC247" s="5">
        <v>2006</v>
      </c>
      <c r="AD247" s="1">
        <v>2006</v>
      </c>
      <c r="AE247" s="6" t="s">
        <v>72</v>
      </c>
      <c r="AF247">
        <v>1</v>
      </c>
      <c r="AG247" t="s">
        <v>64</v>
      </c>
      <c r="AH247" s="1" t="s">
        <v>64</v>
      </c>
    </row>
    <row r="248" spans="1:39" s="22" customFormat="1" ht="15" customHeight="1">
      <c r="A248" s="22" t="s">
        <v>460</v>
      </c>
      <c r="B248" s="22" t="s">
        <v>461</v>
      </c>
      <c r="C248" s="26">
        <v>1</v>
      </c>
      <c r="D248" s="22" t="s">
        <v>426</v>
      </c>
      <c r="E248" s="22" t="s">
        <v>426</v>
      </c>
      <c r="F248" s="22" t="s">
        <v>116</v>
      </c>
      <c r="G248" s="22" t="s">
        <v>184</v>
      </c>
      <c r="H248" s="22" t="s">
        <v>42</v>
      </c>
      <c r="I248" s="22" t="s">
        <v>42</v>
      </c>
      <c r="J248" s="22" t="s">
        <v>42</v>
      </c>
      <c r="K248" s="22" t="s">
        <v>462</v>
      </c>
      <c r="L248" s="22" t="s">
        <v>42</v>
      </c>
      <c r="M248" s="22" t="s">
        <v>42</v>
      </c>
      <c r="N248" s="57" t="s">
        <v>463</v>
      </c>
      <c r="O248" s="22" t="s">
        <v>86</v>
      </c>
      <c r="P248" s="57" t="s">
        <v>431</v>
      </c>
      <c r="Q248" s="22" t="s">
        <v>42</v>
      </c>
      <c r="R248" s="22" t="s">
        <v>42</v>
      </c>
      <c r="S248" s="22" t="s">
        <v>42</v>
      </c>
      <c r="T248" s="22" t="s">
        <v>42</v>
      </c>
      <c r="U248" s="22" t="s">
        <v>42</v>
      </c>
      <c r="V248" s="22" t="s">
        <v>464</v>
      </c>
      <c r="W248" s="23" t="s">
        <v>64</v>
      </c>
      <c r="X248" s="22" t="s">
        <v>42</v>
      </c>
      <c r="Y248" s="23">
        <v>1</v>
      </c>
      <c r="Z248" s="22">
        <v>0</v>
      </c>
      <c r="AA248" s="22">
        <v>0</v>
      </c>
      <c r="AB248" s="22">
        <v>0</v>
      </c>
      <c r="AC248" s="22">
        <v>2006</v>
      </c>
      <c r="AD248" s="22">
        <v>2006</v>
      </c>
      <c r="AE248" s="22" t="s">
        <v>72</v>
      </c>
      <c r="AF248" s="22">
        <v>1</v>
      </c>
      <c r="AG248" s="22" t="s">
        <v>64</v>
      </c>
      <c r="AH248" s="22" t="s">
        <v>64</v>
      </c>
    </row>
    <row r="249" spans="1:39" s="9" customFormat="1" ht="15" customHeight="1">
      <c r="A249" s="9" t="s">
        <v>460</v>
      </c>
      <c r="B249" s="9" t="s">
        <v>461</v>
      </c>
      <c r="C249" s="25">
        <v>2</v>
      </c>
      <c r="D249" s="9" t="s">
        <v>426</v>
      </c>
      <c r="E249" s="9" t="s">
        <v>426</v>
      </c>
      <c r="F249" s="9" t="s">
        <v>116</v>
      </c>
      <c r="G249" s="9" t="s">
        <v>184</v>
      </c>
      <c r="H249" s="9" t="s">
        <v>42</v>
      </c>
      <c r="I249" s="9" t="s">
        <v>42</v>
      </c>
      <c r="J249" s="9" t="s">
        <v>42</v>
      </c>
      <c r="K249" s="9" t="s">
        <v>462</v>
      </c>
      <c r="L249" s="9" t="s">
        <v>42</v>
      </c>
      <c r="M249" s="9" t="s">
        <v>42</v>
      </c>
      <c r="N249" s="40" t="s">
        <v>463</v>
      </c>
      <c r="O249" s="9" t="s">
        <v>86</v>
      </c>
      <c r="P249" s="40" t="s">
        <v>434</v>
      </c>
      <c r="Q249" s="9" t="s">
        <v>42</v>
      </c>
      <c r="R249" s="9" t="s">
        <v>42</v>
      </c>
      <c r="S249" s="9" t="s">
        <v>42</v>
      </c>
      <c r="T249" s="9" t="s">
        <v>42</v>
      </c>
      <c r="U249" s="9" t="s">
        <v>42</v>
      </c>
      <c r="V249" s="9" t="s">
        <v>464</v>
      </c>
      <c r="W249" s="11" t="s">
        <v>64</v>
      </c>
      <c r="X249" s="9" t="s">
        <v>42</v>
      </c>
      <c r="Y249" s="11">
        <v>1</v>
      </c>
      <c r="Z249" s="9">
        <v>0</v>
      </c>
      <c r="AA249" s="9">
        <v>0</v>
      </c>
      <c r="AB249" s="9">
        <v>0</v>
      </c>
      <c r="AC249" s="9">
        <v>2006</v>
      </c>
      <c r="AD249" s="9">
        <v>2006</v>
      </c>
      <c r="AE249" s="9" t="s">
        <v>72</v>
      </c>
      <c r="AF249" s="9">
        <v>1</v>
      </c>
      <c r="AG249" s="9" t="s">
        <v>64</v>
      </c>
      <c r="AH249" s="9" t="s">
        <v>64</v>
      </c>
    </row>
    <row r="250" spans="1:39" ht="15" customHeight="1">
      <c r="A250" t="s">
        <v>465</v>
      </c>
      <c r="B250" t="s">
        <v>466</v>
      </c>
      <c r="C250" s="1">
        <v>1</v>
      </c>
      <c r="D250" t="s">
        <v>426</v>
      </c>
      <c r="E250" t="s">
        <v>426</v>
      </c>
      <c r="F250" t="s">
        <v>123</v>
      </c>
      <c r="G250" t="s">
        <v>184</v>
      </c>
      <c r="H250" t="s">
        <v>427</v>
      </c>
      <c r="I250" t="s">
        <v>467</v>
      </c>
      <c r="J250" t="s">
        <v>42</v>
      </c>
      <c r="K250" t="s">
        <v>468</v>
      </c>
      <c r="L250" t="s">
        <v>469</v>
      </c>
      <c r="M250" s="1" t="s">
        <v>42</v>
      </c>
      <c r="N250" s="39" t="s">
        <v>430</v>
      </c>
      <c r="O250" t="s">
        <v>187</v>
      </c>
      <c r="P250" s="57" t="s">
        <v>431</v>
      </c>
      <c r="Q250" t="s">
        <v>42</v>
      </c>
      <c r="R250" t="s">
        <v>42</v>
      </c>
      <c r="S250" t="s">
        <v>42</v>
      </c>
      <c r="T250" t="s">
        <v>42</v>
      </c>
      <c r="U250" t="s">
        <v>470</v>
      </c>
      <c r="V250" t="s">
        <v>471</v>
      </c>
      <c r="W250" s="8" t="s">
        <v>64</v>
      </c>
      <c r="X250" t="s">
        <v>42</v>
      </c>
      <c r="Y250" s="8">
        <v>1</v>
      </c>
      <c r="Z250">
        <v>0</v>
      </c>
      <c r="AA250">
        <v>0</v>
      </c>
      <c r="AB250">
        <v>0</v>
      </c>
      <c r="AC250" s="5">
        <v>2010</v>
      </c>
      <c r="AD250" s="1">
        <v>2019</v>
      </c>
      <c r="AE250" s="6">
        <f t="shared" ref="AE250:AE260" si="5">AD250-AC250</f>
        <v>9</v>
      </c>
      <c r="AF250">
        <v>2</v>
      </c>
      <c r="AG250" t="s">
        <v>64</v>
      </c>
      <c r="AH250" t="s">
        <v>64</v>
      </c>
    </row>
    <row r="251" spans="1:39" ht="15" customHeight="1">
      <c r="A251" t="s">
        <v>465</v>
      </c>
      <c r="B251" t="s">
        <v>466</v>
      </c>
      <c r="C251" s="1">
        <v>2</v>
      </c>
      <c r="D251" t="s">
        <v>426</v>
      </c>
      <c r="E251" t="s">
        <v>426</v>
      </c>
      <c r="F251" t="s">
        <v>123</v>
      </c>
      <c r="G251" t="s">
        <v>184</v>
      </c>
      <c r="H251" t="s">
        <v>427</v>
      </c>
      <c r="I251" t="s">
        <v>467</v>
      </c>
      <c r="J251" t="s">
        <v>42</v>
      </c>
      <c r="K251" t="s">
        <v>468</v>
      </c>
      <c r="L251" t="s">
        <v>469</v>
      </c>
      <c r="M251" s="1" t="s">
        <v>42</v>
      </c>
      <c r="N251" s="39" t="s">
        <v>430</v>
      </c>
      <c r="O251" t="s">
        <v>187</v>
      </c>
      <c r="P251" s="39" t="s">
        <v>434</v>
      </c>
      <c r="Q251" t="s">
        <v>42</v>
      </c>
      <c r="R251" t="s">
        <v>42</v>
      </c>
      <c r="S251" t="s">
        <v>42</v>
      </c>
      <c r="T251" t="s">
        <v>42</v>
      </c>
      <c r="U251" t="s">
        <v>470</v>
      </c>
      <c r="V251" t="s">
        <v>471</v>
      </c>
      <c r="W251" s="8" t="s">
        <v>64</v>
      </c>
      <c r="X251" t="s">
        <v>42</v>
      </c>
      <c r="Y251" s="8">
        <v>1</v>
      </c>
      <c r="Z251">
        <v>0</v>
      </c>
      <c r="AA251">
        <v>0</v>
      </c>
      <c r="AB251">
        <v>0</v>
      </c>
      <c r="AC251" s="5">
        <v>2010</v>
      </c>
      <c r="AD251" s="1">
        <v>2019</v>
      </c>
      <c r="AE251" s="6">
        <f t="shared" si="5"/>
        <v>9</v>
      </c>
      <c r="AF251">
        <v>2</v>
      </c>
      <c r="AG251" t="s">
        <v>64</v>
      </c>
      <c r="AH251" t="s">
        <v>64</v>
      </c>
    </row>
    <row r="252" spans="1:39" ht="15" customHeight="1">
      <c r="A252" t="s">
        <v>465</v>
      </c>
      <c r="B252" t="s">
        <v>466</v>
      </c>
      <c r="C252" s="1">
        <v>3</v>
      </c>
      <c r="D252" t="s">
        <v>426</v>
      </c>
      <c r="E252" t="s">
        <v>426</v>
      </c>
      <c r="F252" t="s">
        <v>123</v>
      </c>
      <c r="G252" t="s">
        <v>184</v>
      </c>
      <c r="H252" t="s">
        <v>427</v>
      </c>
      <c r="I252" t="s">
        <v>467</v>
      </c>
      <c r="J252" t="s">
        <v>42</v>
      </c>
      <c r="K252" t="s">
        <v>468</v>
      </c>
      <c r="L252" t="s">
        <v>469</v>
      </c>
      <c r="M252" s="1" t="s">
        <v>42</v>
      </c>
      <c r="N252" s="39" t="s">
        <v>430</v>
      </c>
      <c r="O252" t="s">
        <v>187</v>
      </c>
      <c r="P252" s="39" t="s">
        <v>459</v>
      </c>
      <c r="Q252" t="s">
        <v>42</v>
      </c>
      <c r="R252" t="s">
        <v>42</v>
      </c>
      <c r="S252" t="s">
        <v>42</v>
      </c>
      <c r="T252" t="s">
        <v>42</v>
      </c>
      <c r="U252" t="s">
        <v>472</v>
      </c>
      <c r="V252" t="s">
        <v>471</v>
      </c>
      <c r="W252" s="8" t="s">
        <v>64</v>
      </c>
      <c r="X252" t="s">
        <v>42</v>
      </c>
      <c r="Y252" s="8">
        <v>1</v>
      </c>
      <c r="Z252">
        <v>0</v>
      </c>
      <c r="AA252">
        <v>0</v>
      </c>
      <c r="AB252">
        <v>0</v>
      </c>
      <c r="AC252" s="5">
        <v>2010</v>
      </c>
      <c r="AD252" s="1">
        <v>2019</v>
      </c>
      <c r="AE252" s="6">
        <f t="shared" si="5"/>
        <v>9</v>
      </c>
      <c r="AF252">
        <v>2</v>
      </c>
      <c r="AG252" t="s">
        <v>64</v>
      </c>
      <c r="AH252" t="s">
        <v>64</v>
      </c>
    </row>
    <row r="253" spans="1:39" ht="15" customHeight="1">
      <c r="A253" t="s">
        <v>465</v>
      </c>
      <c r="B253" t="s">
        <v>466</v>
      </c>
      <c r="C253" s="1">
        <v>4</v>
      </c>
      <c r="D253" t="s">
        <v>426</v>
      </c>
      <c r="E253" t="s">
        <v>426</v>
      </c>
      <c r="F253" t="s">
        <v>123</v>
      </c>
      <c r="G253" t="s">
        <v>184</v>
      </c>
      <c r="H253" t="s">
        <v>427</v>
      </c>
      <c r="I253" t="s">
        <v>467</v>
      </c>
      <c r="J253" t="s">
        <v>42</v>
      </c>
      <c r="K253" t="s">
        <v>468</v>
      </c>
      <c r="L253" t="s">
        <v>469</v>
      </c>
      <c r="M253" s="1" t="s">
        <v>42</v>
      </c>
      <c r="N253" s="39" t="s">
        <v>430</v>
      </c>
      <c r="O253" t="s">
        <v>187</v>
      </c>
      <c r="P253" s="39" t="s">
        <v>473</v>
      </c>
      <c r="Q253" t="s">
        <v>42</v>
      </c>
      <c r="R253" t="s">
        <v>42</v>
      </c>
      <c r="S253" t="s">
        <v>42</v>
      </c>
      <c r="T253" t="s">
        <v>42</v>
      </c>
      <c r="U253" t="s">
        <v>470</v>
      </c>
      <c r="V253" t="s">
        <v>471</v>
      </c>
      <c r="W253" s="8" t="s">
        <v>64</v>
      </c>
      <c r="X253" t="s">
        <v>42</v>
      </c>
      <c r="Y253" s="8">
        <v>1</v>
      </c>
      <c r="Z253">
        <v>0</v>
      </c>
      <c r="AA253">
        <v>0</v>
      </c>
      <c r="AB253">
        <v>0</v>
      </c>
      <c r="AC253" s="5">
        <v>2010</v>
      </c>
      <c r="AD253" s="1">
        <v>2019</v>
      </c>
      <c r="AE253" s="6">
        <f t="shared" si="5"/>
        <v>9</v>
      </c>
      <c r="AF253">
        <v>2</v>
      </c>
      <c r="AG253" t="s">
        <v>64</v>
      </c>
      <c r="AH253" t="s">
        <v>64</v>
      </c>
    </row>
    <row r="254" spans="1:39" ht="15" customHeight="1">
      <c r="A254" t="s">
        <v>465</v>
      </c>
      <c r="B254" t="s">
        <v>466</v>
      </c>
      <c r="C254" s="1">
        <v>5</v>
      </c>
      <c r="D254" t="s">
        <v>426</v>
      </c>
      <c r="E254" t="s">
        <v>426</v>
      </c>
      <c r="F254" t="s">
        <v>123</v>
      </c>
      <c r="G254" t="s">
        <v>184</v>
      </c>
      <c r="H254" t="s">
        <v>427</v>
      </c>
      <c r="I254" t="s">
        <v>467</v>
      </c>
      <c r="J254" t="s">
        <v>42</v>
      </c>
      <c r="K254" t="s">
        <v>468</v>
      </c>
      <c r="L254" t="s">
        <v>469</v>
      </c>
      <c r="M254" s="1" t="s">
        <v>42</v>
      </c>
      <c r="N254" s="39" t="s">
        <v>430</v>
      </c>
      <c r="O254" t="s">
        <v>187</v>
      </c>
      <c r="P254" s="39" t="s">
        <v>456</v>
      </c>
      <c r="Q254" t="s">
        <v>42</v>
      </c>
      <c r="R254" t="s">
        <v>42</v>
      </c>
      <c r="S254" t="s">
        <v>42</v>
      </c>
      <c r="T254" t="s">
        <v>42</v>
      </c>
      <c r="U254" t="s">
        <v>470</v>
      </c>
      <c r="V254" t="s">
        <v>471</v>
      </c>
      <c r="W254" s="8" t="s">
        <v>64</v>
      </c>
      <c r="X254" t="s">
        <v>42</v>
      </c>
      <c r="Y254" s="8">
        <v>1</v>
      </c>
      <c r="Z254">
        <v>0</v>
      </c>
      <c r="AA254">
        <v>0</v>
      </c>
      <c r="AB254">
        <v>0</v>
      </c>
      <c r="AC254" s="5">
        <v>2010</v>
      </c>
      <c r="AD254" s="1">
        <v>2019</v>
      </c>
      <c r="AE254" s="6">
        <f t="shared" si="5"/>
        <v>9</v>
      </c>
      <c r="AF254">
        <v>2</v>
      </c>
      <c r="AG254" t="s">
        <v>64</v>
      </c>
      <c r="AH254" t="s">
        <v>64</v>
      </c>
      <c r="AK254" s="5"/>
      <c r="AL254" s="1"/>
      <c r="AM254" s="6"/>
    </row>
    <row r="255" spans="1:39" s="9" customFormat="1" ht="15" customHeight="1">
      <c r="A255" s="9" t="s">
        <v>465</v>
      </c>
      <c r="B255" s="9" t="s">
        <v>466</v>
      </c>
      <c r="C255" s="10">
        <v>6</v>
      </c>
      <c r="D255" s="9" t="s">
        <v>426</v>
      </c>
      <c r="E255" s="9" t="s">
        <v>426</v>
      </c>
      <c r="F255" s="9" t="s">
        <v>123</v>
      </c>
      <c r="G255" s="9" t="s">
        <v>184</v>
      </c>
      <c r="H255" s="9" t="s">
        <v>427</v>
      </c>
      <c r="I255" s="9" t="s">
        <v>467</v>
      </c>
      <c r="J255" s="9" t="s">
        <v>42</v>
      </c>
      <c r="K255" s="9" t="s">
        <v>468</v>
      </c>
      <c r="L255" s="9" t="s">
        <v>469</v>
      </c>
      <c r="M255" s="10" t="s">
        <v>42</v>
      </c>
      <c r="N255" s="40" t="s">
        <v>430</v>
      </c>
      <c r="O255" s="9" t="s">
        <v>187</v>
      </c>
      <c r="P255" s="40" t="s">
        <v>435</v>
      </c>
      <c r="Q255" s="9" t="s">
        <v>42</v>
      </c>
      <c r="R255" s="9" t="s">
        <v>42</v>
      </c>
      <c r="S255" s="9" t="s">
        <v>42</v>
      </c>
      <c r="T255" s="9" t="s">
        <v>42</v>
      </c>
      <c r="U255" s="9" t="s">
        <v>470</v>
      </c>
      <c r="V255" s="9" t="s">
        <v>471</v>
      </c>
      <c r="W255" s="11" t="s">
        <v>64</v>
      </c>
      <c r="X255" s="9" t="s">
        <v>42</v>
      </c>
      <c r="Y255" s="11">
        <v>1</v>
      </c>
      <c r="Z255" s="9">
        <v>0</v>
      </c>
      <c r="AA255" s="9">
        <v>0</v>
      </c>
      <c r="AB255" s="9">
        <v>0</v>
      </c>
      <c r="AC255" s="12">
        <v>2010</v>
      </c>
      <c r="AD255" s="10">
        <v>2019</v>
      </c>
      <c r="AE255" s="13">
        <f t="shared" si="5"/>
        <v>9</v>
      </c>
      <c r="AF255" s="9">
        <v>2</v>
      </c>
      <c r="AG255" s="9" t="s">
        <v>64</v>
      </c>
      <c r="AH255" s="9" t="s">
        <v>64</v>
      </c>
    </row>
    <row r="256" spans="1:39" ht="15" customHeight="1">
      <c r="A256" t="s">
        <v>474</v>
      </c>
      <c r="B256" t="s">
        <v>475</v>
      </c>
      <c r="C256" s="24">
        <v>1</v>
      </c>
      <c r="D256" t="s">
        <v>440</v>
      </c>
      <c r="E256" t="s">
        <v>38</v>
      </c>
      <c r="F256" t="s">
        <v>116</v>
      </c>
      <c r="G256" t="s">
        <v>40</v>
      </c>
      <c r="H256" t="s">
        <v>42</v>
      </c>
      <c r="I256" t="s">
        <v>42</v>
      </c>
      <c r="J256" t="s">
        <v>42</v>
      </c>
      <c r="K256" t="s">
        <v>117</v>
      </c>
      <c r="L256" t="s">
        <v>42</v>
      </c>
      <c r="M256" s="1" t="s">
        <v>42</v>
      </c>
      <c r="N256" s="39" t="s">
        <v>402</v>
      </c>
      <c r="O256" t="s">
        <v>86</v>
      </c>
      <c r="P256" s="39" t="s">
        <v>402</v>
      </c>
      <c r="Q256" t="s">
        <v>476</v>
      </c>
      <c r="R256" t="s">
        <v>42</v>
      </c>
      <c r="S256" t="s">
        <v>477</v>
      </c>
      <c r="T256" t="s">
        <v>42</v>
      </c>
      <c r="U256" t="s">
        <v>42</v>
      </c>
      <c r="V256" t="s">
        <v>42</v>
      </c>
      <c r="W256" s="8" t="s">
        <v>64</v>
      </c>
      <c r="X256" t="s">
        <v>42</v>
      </c>
      <c r="Y256" s="8">
        <v>0</v>
      </c>
      <c r="Z256">
        <v>0</v>
      </c>
      <c r="AA256">
        <v>1</v>
      </c>
      <c r="AB256">
        <v>0</v>
      </c>
      <c r="AC256" s="5">
        <v>1985</v>
      </c>
      <c r="AD256" s="1">
        <v>2010</v>
      </c>
      <c r="AE256" s="6">
        <f t="shared" si="5"/>
        <v>25</v>
      </c>
      <c r="AF256" t="s">
        <v>42</v>
      </c>
      <c r="AG256" t="s">
        <v>50</v>
      </c>
      <c r="AH256" t="s">
        <v>64</v>
      </c>
    </row>
    <row r="257" spans="1:34" ht="15" customHeight="1">
      <c r="A257" t="s">
        <v>474</v>
      </c>
      <c r="B257" t="s">
        <v>475</v>
      </c>
      <c r="C257" s="24">
        <v>2</v>
      </c>
      <c r="D257" t="s">
        <v>440</v>
      </c>
      <c r="E257" t="s">
        <v>38</v>
      </c>
      <c r="F257" t="s">
        <v>39</v>
      </c>
      <c r="G257" t="s">
        <v>40</v>
      </c>
      <c r="H257" t="s">
        <v>41</v>
      </c>
      <c r="I257" t="s">
        <v>42</v>
      </c>
      <c r="J257" t="s">
        <v>42</v>
      </c>
      <c r="K257" t="s">
        <v>42</v>
      </c>
      <c r="L257" t="s">
        <v>42</v>
      </c>
      <c r="M257" s="1" t="s">
        <v>42</v>
      </c>
      <c r="N257" s="39" t="s">
        <v>52</v>
      </c>
      <c r="O257" t="s">
        <v>86</v>
      </c>
      <c r="P257" s="39" t="s">
        <v>52</v>
      </c>
      <c r="Q257" t="s">
        <v>476</v>
      </c>
      <c r="R257" t="s">
        <v>42</v>
      </c>
      <c r="S257" t="s">
        <v>69</v>
      </c>
      <c r="T257" t="s">
        <v>42</v>
      </c>
      <c r="U257" t="s">
        <v>42</v>
      </c>
      <c r="V257" t="s">
        <v>42</v>
      </c>
      <c r="W257" s="8" t="s">
        <v>64</v>
      </c>
      <c r="X257" t="s">
        <v>42</v>
      </c>
      <c r="Y257" s="8">
        <v>0</v>
      </c>
      <c r="Z257">
        <v>0</v>
      </c>
      <c r="AA257">
        <v>1</v>
      </c>
      <c r="AB257">
        <v>0</v>
      </c>
      <c r="AC257" s="5">
        <v>1985</v>
      </c>
      <c r="AD257" s="1">
        <v>2010</v>
      </c>
      <c r="AE257" s="6">
        <f t="shared" si="5"/>
        <v>25</v>
      </c>
      <c r="AF257">
        <v>9</v>
      </c>
      <c r="AG257" t="s">
        <v>64</v>
      </c>
      <c r="AH257" t="s">
        <v>64</v>
      </c>
    </row>
    <row r="258" spans="1:34" ht="15" customHeight="1">
      <c r="A258" t="s">
        <v>474</v>
      </c>
      <c r="B258" t="s">
        <v>475</v>
      </c>
      <c r="C258" s="24">
        <v>3</v>
      </c>
      <c r="D258" t="s">
        <v>440</v>
      </c>
      <c r="E258" t="s">
        <v>38</v>
      </c>
      <c r="F258" t="s">
        <v>39</v>
      </c>
      <c r="G258" t="s">
        <v>40</v>
      </c>
      <c r="H258" t="s">
        <v>41</v>
      </c>
      <c r="I258" t="s">
        <v>42</v>
      </c>
      <c r="J258" t="s">
        <v>42</v>
      </c>
      <c r="K258" t="s">
        <v>42</v>
      </c>
      <c r="L258" t="s">
        <v>42</v>
      </c>
      <c r="M258" s="1" t="s">
        <v>42</v>
      </c>
      <c r="N258" s="39" t="s">
        <v>132</v>
      </c>
      <c r="O258" t="s">
        <v>86</v>
      </c>
      <c r="P258" s="39" t="s">
        <v>132</v>
      </c>
      <c r="Q258" t="s">
        <v>476</v>
      </c>
      <c r="R258" t="s">
        <v>42</v>
      </c>
      <c r="S258" t="s">
        <v>364</v>
      </c>
      <c r="T258" t="s">
        <v>42</v>
      </c>
      <c r="U258" t="s">
        <v>42</v>
      </c>
      <c r="V258" t="s">
        <v>42</v>
      </c>
      <c r="W258" s="8" t="s">
        <v>64</v>
      </c>
      <c r="X258" t="s">
        <v>42</v>
      </c>
      <c r="Y258" s="8">
        <v>0</v>
      </c>
      <c r="Z258">
        <v>0</v>
      </c>
      <c r="AA258">
        <v>1</v>
      </c>
      <c r="AB258">
        <v>0</v>
      </c>
      <c r="AC258" s="5">
        <v>1985</v>
      </c>
      <c r="AD258" s="1">
        <v>2010</v>
      </c>
      <c r="AE258" s="6">
        <f t="shared" si="5"/>
        <v>25</v>
      </c>
      <c r="AF258">
        <v>9</v>
      </c>
      <c r="AG258" t="s">
        <v>64</v>
      </c>
      <c r="AH258" t="s">
        <v>64</v>
      </c>
    </row>
    <row r="259" spans="1:34" ht="15" customHeight="1">
      <c r="A259" t="s">
        <v>474</v>
      </c>
      <c r="B259" t="s">
        <v>475</v>
      </c>
      <c r="C259" s="24">
        <v>4</v>
      </c>
      <c r="D259" t="s">
        <v>440</v>
      </c>
      <c r="E259" t="s">
        <v>38</v>
      </c>
      <c r="F259" t="s">
        <v>39</v>
      </c>
      <c r="G259" t="s">
        <v>40</v>
      </c>
      <c r="H259" t="s">
        <v>41</v>
      </c>
      <c r="I259" t="s">
        <v>42</v>
      </c>
      <c r="J259" t="s">
        <v>42</v>
      </c>
      <c r="K259" t="s">
        <v>42</v>
      </c>
      <c r="L259" t="s">
        <v>42</v>
      </c>
      <c r="M259" s="1" t="s">
        <v>42</v>
      </c>
      <c r="N259" s="39" t="s">
        <v>43</v>
      </c>
      <c r="O259" t="s">
        <v>86</v>
      </c>
      <c r="P259" s="39" t="s">
        <v>478</v>
      </c>
      <c r="Q259" t="s">
        <v>476</v>
      </c>
      <c r="R259" t="s">
        <v>42</v>
      </c>
      <c r="S259" t="s">
        <v>88</v>
      </c>
      <c r="T259" t="s">
        <v>42</v>
      </c>
      <c r="U259" t="s">
        <v>42</v>
      </c>
      <c r="V259" t="s">
        <v>42</v>
      </c>
      <c r="W259" s="8" t="s">
        <v>64</v>
      </c>
      <c r="X259" t="s">
        <v>42</v>
      </c>
      <c r="Y259" s="8">
        <v>0</v>
      </c>
      <c r="Z259">
        <v>0</v>
      </c>
      <c r="AA259">
        <v>1</v>
      </c>
      <c r="AB259">
        <v>0</v>
      </c>
      <c r="AC259" s="5">
        <v>1985</v>
      </c>
      <c r="AD259" s="1">
        <v>2010</v>
      </c>
      <c r="AE259" s="6">
        <f t="shared" si="5"/>
        <v>25</v>
      </c>
      <c r="AF259">
        <v>9</v>
      </c>
      <c r="AG259" t="s">
        <v>64</v>
      </c>
      <c r="AH259" t="s">
        <v>64</v>
      </c>
    </row>
    <row r="260" spans="1:34" ht="15" customHeight="1">
      <c r="A260" t="s">
        <v>474</v>
      </c>
      <c r="B260" t="s">
        <v>475</v>
      </c>
      <c r="C260" s="24">
        <v>5</v>
      </c>
      <c r="D260" t="s">
        <v>440</v>
      </c>
      <c r="E260" t="s">
        <v>397</v>
      </c>
      <c r="F260" t="s">
        <v>123</v>
      </c>
      <c r="G260" t="s">
        <v>40</v>
      </c>
      <c r="H260" t="s">
        <v>467</v>
      </c>
      <c r="I260" t="s">
        <v>42</v>
      </c>
      <c r="J260" t="s">
        <v>42</v>
      </c>
      <c r="K260" t="s">
        <v>117</v>
      </c>
      <c r="L260" t="s">
        <v>42</v>
      </c>
      <c r="M260" s="1" t="s">
        <v>42</v>
      </c>
      <c r="N260" s="39" t="s">
        <v>399</v>
      </c>
      <c r="O260" t="s">
        <v>86</v>
      </c>
      <c r="P260" s="39" t="s">
        <v>479</v>
      </c>
      <c r="Q260" t="s">
        <v>42</v>
      </c>
      <c r="R260" t="s">
        <v>42</v>
      </c>
      <c r="S260" t="s">
        <v>480</v>
      </c>
      <c r="T260" t="s">
        <v>42</v>
      </c>
      <c r="U260" t="s">
        <v>42</v>
      </c>
      <c r="V260" t="s">
        <v>42</v>
      </c>
      <c r="W260" s="8" t="s">
        <v>64</v>
      </c>
      <c r="X260" t="s">
        <v>42</v>
      </c>
      <c r="Y260" s="8">
        <v>0</v>
      </c>
      <c r="Z260">
        <v>0</v>
      </c>
      <c r="AA260">
        <v>1</v>
      </c>
      <c r="AB260">
        <v>0</v>
      </c>
      <c r="AC260" s="5">
        <v>1985</v>
      </c>
      <c r="AD260" s="1">
        <v>2010</v>
      </c>
      <c r="AE260" s="6">
        <f t="shared" si="5"/>
        <v>25</v>
      </c>
      <c r="AF260" t="s">
        <v>42</v>
      </c>
      <c r="AG260" t="s">
        <v>50</v>
      </c>
      <c r="AH260" t="s">
        <v>64</v>
      </c>
    </row>
    <row r="261" spans="1:34" ht="15" customHeight="1">
      <c r="A261" t="s">
        <v>474</v>
      </c>
      <c r="B261" t="s">
        <v>475</v>
      </c>
      <c r="C261" s="24">
        <v>6</v>
      </c>
      <c r="D261" t="s">
        <v>440</v>
      </c>
      <c r="E261" t="s">
        <v>426</v>
      </c>
      <c r="F261" t="s">
        <v>123</v>
      </c>
      <c r="G261" t="s">
        <v>184</v>
      </c>
      <c r="H261" t="s">
        <v>467</v>
      </c>
      <c r="I261" t="s">
        <v>42</v>
      </c>
      <c r="J261" t="s">
        <v>42</v>
      </c>
      <c r="K261" t="s">
        <v>117</v>
      </c>
      <c r="L261" t="s">
        <v>481</v>
      </c>
      <c r="M261" s="1" t="s">
        <v>42</v>
      </c>
      <c r="N261" s="39" t="s">
        <v>463</v>
      </c>
      <c r="O261" t="s">
        <v>187</v>
      </c>
      <c r="P261" s="39" t="s">
        <v>431</v>
      </c>
      <c r="Q261" t="s">
        <v>42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s="8" t="s">
        <v>64</v>
      </c>
      <c r="X261" t="s">
        <v>42</v>
      </c>
      <c r="Y261" s="8">
        <v>0</v>
      </c>
      <c r="Z261">
        <v>0</v>
      </c>
      <c r="AA261">
        <v>1</v>
      </c>
      <c r="AB261">
        <v>0</v>
      </c>
      <c r="AC261" s="5">
        <v>1985</v>
      </c>
      <c r="AD261" s="1">
        <v>2010</v>
      </c>
      <c r="AE261" s="6">
        <v>25</v>
      </c>
      <c r="AF261" t="s">
        <v>42</v>
      </c>
      <c r="AG261" t="s">
        <v>50</v>
      </c>
      <c r="AH261" t="s">
        <v>64</v>
      </c>
    </row>
    <row r="262" spans="1:34" ht="15" customHeight="1">
      <c r="A262" t="s">
        <v>474</v>
      </c>
      <c r="B262" t="s">
        <v>475</v>
      </c>
      <c r="C262" s="24">
        <v>7</v>
      </c>
      <c r="D262" t="s">
        <v>440</v>
      </c>
      <c r="E262" t="s">
        <v>426</v>
      </c>
      <c r="F262" t="s">
        <v>123</v>
      </c>
      <c r="G262" t="s">
        <v>184</v>
      </c>
      <c r="H262" t="s">
        <v>467</v>
      </c>
      <c r="I262" t="s">
        <v>42</v>
      </c>
      <c r="J262" t="s">
        <v>42</v>
      </c>
      <c r="K262" t="s">
        <v>117</v>
      </c>
      <c r="L262" t="s">
        <v>481</v>
      </c>
      <c r="M262" s="1" t="s">
        <v>42</v>
      </c>
      <c r="N262" s="39" t="s">
        <v>463</v>
      </c>
      <c r="O262" t="s">
        <v>187</v>
      </c>
      <c r="P262" s="39" t="s">
        <v>456</v>
      </c>
      <c r="Q262" t="s">
        <v>42</v>
      </c>
      <c r="R262" t="s">
        <v>42</v>
      </c>
      <c r="S262" t="s">
        <v>42</v>
      </c>
      <c r="T262" t="s">
        <v>42</v>
      </c>
      <c r="U262" t="s">
        <v>42</v>
      </c>
      <c r="V262" t="s">
        <v>42</v>
      </c>
      <c r="W262" s="8" t="s">
        <v>64</v>
      </c>
      <c r="X262" t="s">
        <v>42</v>
      </c>
      <c r="Y262" s="8">
        <v>0</v>
      </c>
      <c r="Z262">
        <v>0</v>
      </c>
      <c r="AA262">
        <v>1</v>
      </c>
      <c r="AB262">
        <v>0</v>
      </c>
      <c r="AC262" s="5">
        <v>1985</v>
      </c>
      <c r="AD262" s="1">
        <v>2010</v>
      </c>
      <c r="AE262" s="6">
        <v>25</v>
      </c>
      <c r="AF262" t="s">
        <v>42</v>
      </c>
      <c r="AG262" t="s">
        <v>50</v>
      </c>
      <c r="AH262" t="s">
        <v>64</v>
      </c>
    </row>
    <row r="263" spans="1:34" s="9" customFormat="1" ht="15" customHeight="1">
      <c r="A263" s="9" t="s">
        <v>474</v>
      </c>
      <c r="B263" s="9" t="s">
        <v>475</v>
      </c>
      <c r="C263" s="25">
        <v>8</v>
      </c>
      <c r="D263" t="s">
        <v>440</v>
      </c>
      <c r="E263" s="9" t="s">
        <v>426</v>
      </c>
      <c r="F263" s="9" t="s">
        <v>123</v>
      </c>
      <c r="G263" s="9" t="s">
        <v>184</v>
      </c>
      <c r="H263" s="9" t="s">
        <v>467</v>
      </c>
      <c r="I263" s="9" t="s">
        <v>42</v>
      </c>
      <c r="J263" s="9" t="s">
        <v>42</v>
      </c>
      <c r="K263" s="9" t="s">
        <v>117</v>
      </c>
      <c r="L263" s="9" t="s">
        <v>481</v>
      </c>
      <c r="M263" s="10" t="s">
        <v>42</v>
      </c>
      <c r="N263" s="40" t="s">
        <v>463</v>
      </c>
      <c r="O263" s="9" t="s">
        <v>187</v>
      </c>
      <c r="P263" s="40" t="s">
        <v>434</v>
      </c>
      <c r="Q263" s="9" t="s">
        <v>42</v>
      </c>
      <c r="R263" s="9" t="s">
        <v>42</v>
      </c>
      <c r="S263" s="9" t="s">
        <v>42</v>
      </c>
      <c r="T263" s="9" t="s">
        <v>42</v>
      </c>
      <c r="U263" s="9" t="s">
        <v>42</v>
      </c>
      <c r="V263" s="9" t="s">
        <v>42</v>
      </c>
      <c r="W263" s="11" t="s">
        <v>64</v>
      </c>
      <c r="X263" s="9" t="s">
        <v>42</v>
      </c>
      <c r="Y263" s="11">
        <v>0</v>
      </c>
      <c r="Z263" s="9">
        <v>0</v>
      </c>
      <c r="AA263" s="9">
        <v>1</v>
      </c>
      <c r="AB263" s="9">
        <v>0</v>
      </c>
      <c r="AC263" s="12">
        <v>1985</v>
      </c>
      <c r="AD263" s="10">
        <v>2010</v>
      </c>
      <c r="AE263" s="13">
        <v>25</v>
      </c>
      <c r="AF263" s="9" t="s">
        <v>42</v>
      </c>
      <c r="AG263" s="9" t="s">
        <v>50</v>
      </c>
      <c r="AH263" s="9" t="s">
        <v>64</v>
      </c>
    </row>
    <row r="264" spans="1:34" ht="15" customHeight="1">
      <c r="A264" t="s">
        <v>482</v>
      </c>
      <c r="B264" t="s">
        <v>483</v>
      </c>
      <c r="C264" s="24">
        <v>1</v>
      </c>
      <c r="D264" t="s">
        <v>426</v>
      </c>
      <c r="E264" t="s">
        <v>426</v>
      </c>
      <c r="F264" t="s">
        <v>39</v>
      </c>
      <c r="G264" t="s">
        <v>184</v>
      </c>
      <c r="H264" t="s">
        <v>484</v>
      </c>
      <c r="I264" t="s">
        <v>42</v>
      </c>
      <c r="J264" t="s">
        <v>42</v>
      </c>
      <c r="K264" t="s">
        <v>42</v>
      </c>
      <c r="L264" t="s">
        <v>42</v>
      </c>
      <c r="M264" s="1" t="s">
        <v>42</v>
      </c>
      <c r="N264" s="39" t="s">
        <v>430</v>
      </c>
      <c r="O264" t="s">
        <v>187</v>
      </c>
      <c r="P264" s="39" t="s">
        <v>456</v>
      </c>
      <c r="Q264" t="s">
        <v>42</v>
      </c>
      <c r="R264" t="s">
        <v>42</v>
      </c>
      <c r="S264" t="s">
        <v>42</v>
      </c>
      <c r="T264" t="s">
        <v>42</v>
      </c>
      <c r="U264" t="s">
        <v>485</v>
      </c>
      <c r="V264" t="s">
        <v>486</v>
      </c>
      <c r="W264" s="8" t="s">
        <v>64</v>
      </c>
      <c r="X264" t="s">
        <v>42</v>
      </c>
      <c r="Y264" s="8">
        <v>0</v>
      </c>
      <c r="Z264">
        <v>0</v>
      </c>
      <c r="AA264">
        <v>1</v>
      </c>
      <c r="AB264">
        <v>0</v>
      </c>
      <c r="AC264" s="5">
        <v>2020</v>
      </c>
      <c r="AD264" s="1">
        <v>2020</v>
      </c>
      <c r="AE264" s="6" t="s">
        <v>72</v>
      </c>
      <c r="AF264">
        <v>1</v>
      </c>
      <c r="AG264" t="s">
        <v>64</v>
      </c>
      <c r="AH264" s="1" t="s">
        <v>64</v>
      </c>
    </row>
    <row r="265" spans="1:34" ht="15" customHeight="1">
      <c r="A265" t="s">
        <v>482</v>
      </c>
      <c r="B265" t="s">
        <v>483</v>
      </c>
      <c r="C265" s="24">
        <v>2</v>
      </c>
      <c r="D265" t="s">
        <v>426</v>
      </c>
      <c r="E265" t="s">
        <v>426</v>
      </c>
      <c r="F265" t="s">
        <v>39</v>
      </c>
      <c r="G265" t="s">
        <v>184</v>
      </c>
      <c r="H265" t="s">
        <v>484</v>
      </c>
      <c r="I265" t="s">
        <v>42</v>
      </c>
      <c r="J265" t="s">
        <v>42</v>
      </c>
      <c r="K265" t="s">
        <v>42</v>
      </c>
      <c r="L265" t="s">
        <v>42</v>
      </c>
      <c r="M265" s="1" t="s">
        <v>42</v>
      </c>
      <c r="N265" s="39" t="s">
        <v>430</v>
      </c>
      <c r="O265" t="s">
        <v>187</v>
      </c>
      <c r="P265" s="39" t="s">
        <v>431</v>
      </c>
      <c r="Q265" t="s">
        <v>42</v>
      </c>
      <c r="R265" t="s">
        <v>42</v>
      </c>
      <c r="S265" t="s">
        <v>42</v>
      </c>
      <c r="T265" t="s">
        <v>42</v>
      </c>
      <c r="U265" t="s">
        <v>485</v>
      </c>
      <c r="V265" t="s">
        <v>486</v>
      </c>
      <c r="W265" s="8" t="s">
        <v>64</v>
      </c>
      <c r="X265" t="s">
        <v>42</v>
      </c>
      <c r="Y265" s="8">
        <v>0</v>
      </c>
      <c r="Z265">
        <v>0</v>
      </c>
      <c r="AA265">
        <v>1</v>
      </c>
      <c r="AB265">
        <v>0</v>
      </c>
      <c r="AC265" s="5">
        <v>2020</v>
      </c>
      <c r="AD265" s="1">
        <v>2020</v>
      </c>
      <c r="AE265" s="6" t="s">
        <v>72</v>
      </c>
      <c r="AF265">
        <v>1</v>
      </c>
      <c r="AG265" t="s">
        <v>64</v>
      </c>
      <c r="AH265" s="1" t="s">
        <v>64</v>
      </c>
    </row>
    <row r="266" spans="1:34" ht="15" customHeight="1">
      <c r="A266" t="s">
        <v>482</v>
      </c>
      <c r="B266" t="s">
        <v>483</v>
      </c>
      <c r="C266" s="24">
        <v>3</v>
      </c>
      <c r="D266" t="s">
        <v>426</v>
      </c>
      <c r="E266" t="s">
        <v>426</v>
      </c>
      <c r="F266" t="s">
        <v>39</v>
      </c>
      <c r="G266" t="s">
        <v>184</v>
      </c>
      <c r="H266" t="s">
        <v>484</v>
      </c>
      <c r="I266" t="s">
        <v>42</v>
      </c>
      <c r="J266" t="s">
        <v>42</v>
      </c>
      <c r="K266" t="s">
        <v>42</v>
      </c>
      <c r="L266" t="s">
        <v>42</v>
      </c>
      <c r="M266" s="1" t="s">
        <v>42</v>
      </c>
      <c r="N266" s="39" t="s">
        <v>430</v>
      </c>
      <c r="O266" t="s">
        <v>187</v>
      </c>
      <c r="P266" s="39" t="s">
        <v>434</v>
      </c>
      <c r="Q266" t="s">
        <v>42</v>
      </c>
      <c r="R266" t="s">
        <v>42</v>
      </c>
      <c r="S266" t="s">
        <v>42</v>
      </c>
      <c r="T266" t="s">
        <v>42</v>
      </c>
      <c r="U266" t="s">
        <v>485</v>
      </c>
      <c r="V266" t="s">
        <v>486</v>
      </c>
      <c r="W266" s="8" t="s">
        <v>64</v>
      </c>
      <c r="X266" t="s">
        <v>42</v>
      </c>
      <c r="Y266" s="8">
        <v>0</v>
      </c>
      <c r="Z266">
        <v>0</v>
      </c>
      <c r="AA266">
        <v>1</v>
      </c>
      <c r="AB266">
        <v>0</v>
      </c>
      <c r="AC266" s="5">
        <v>2020</v>
      </c>
      <c r="AD266" s="1">
        <v>2020</v>
      </c>
      <c r="AE266" s="6" t="s">
        <v>72</v>
      </c>
      <c r="AF266">
        <v>1</v>
      </c>
      <c r="AG266" t="s">
        <v>64</v>
      </c>
      <c r="AH266" s="1" t="s">
        <v>64</v>
      </c>
    </row>
    <row r="267" spans="1:34" s="9" customFormat="1" ht="15" customHeight="1">
      <c r="A267" s="9" t="s">
        <v>482</v>
      </c>
      <c r="B267" s="9" t="s">
        <v>483</v>
      </c>
      <c r="C267" s="25">
        <v>4</v>
      </c>
      <c r="D267" s="9" t="s">
        <v>426</v>
      </c>
      <c r="E267" s="9" t="s">
        <v>426</v>
      </c>
      <c r="F267" s="9" t="s">
        <v>39</v>
      </c>
      <c r="G267" s="9" t="s">
        <v>184</v>
      </c>
      <c r="H267" s="9" t="s">
        <v>484</v>
      </c>
      <c r="I267" s="9" t="s">
        <v>42</v>
      </c>
      <c r="J267" s="9" t="s">
        <v>42</v>
      </c>
      <c r="K267" s="9" t="s">
        <v>42</v>
      </c>
      <c r="L267" s="9" t="s">
        <v>42</v>
      </c>
      <c r="M267" s="10" t="s">
        <v>42</v>
      </c>
      <c r="N267" s="40" t="s">
        <v>430</v>
      </c>
      <c r="O267" s="9" t="s">
        <v>187</v>
      </c>
      <c r="P267" s="40" t="s">
        <v>459</v>
      </c>
      <c r="Q267" s="9" t="s">
        <v>42</v>
      </c>
      <c r="R267" s="9" t="s">
        <v>42</v>
      </c>
      <c r="S267" s="9" t="s">
        <v>42</v>
      </c>
      <c r="T267" s="9" t="s">
        <v>42</v>
      </c>
      <c r="U267" s="9" t="s">
        <v>485</v>
      </c>
      <c r="V267" s="9" t="s">
        <v>486</v>
      </c>
      <c r="W267" s="11" t="s">
        <v>64</v>
      </c>
      <c r="X267" s="9" t="s">
        <v>42</v>
      </c>
      <c r="Y267" s="11">
        <v>0</v>
      </c>
      <c r="Z267" s="9">
        <v>0</v>
      </c>
      <c r="AA267" s="9">
        <v>1</v>
      </c>
      <c r="AB267" s="9">
        <v>0</v>
      </c>
      <c r="AC267" s="12">
        <v>2020</v>
      </c>
      <c r="AD267" s="10">
        <v>2020</v>
      </c>
      <c r="AE267" s="13" t="s">
        <v>72</v>
      </c>
      <c r="AF267" s="9">
        <v>1</v>
      </c>
      <c r="AG267" s="9" t="s">
        <v>64</v>
      </c>
      <c r="AH267" s="10" t="s">
        <v>64</v>
      </c>
    </row>
    <row r="268" spans="1:34" ht="15" customHeight="1">
      <c r="A268" t="s">
        <v>487</v>
      </c>
      <c r="B268" t="s">
        <v>488</v>
      </c>
      <c r="C268" s="1">
        <v>1</v>
      </c>
      <c r="D268" t="s">
        <v>426</v>
      </c>
      <c r="E268" t="s">
        <v>426</v>
      </c>
      <c r="F268" t="s">
        <v>39</v>
      </c>
      <c r="G268" t="s">
        <v>184</v>
      </c>
      <c r="H268" t="s">
        <v>427</v>
      </c>
      <c r="I268" t="s">
        <v>455</v>
      </c>
      <c r="J268" t="s">
        <v>467</v>
      </c>
      <c r="K268" t="s">
        <v>42</v>
      </c>
      <c r="L268" t="s">
        <v>42</v>
      </c>
      <c r="M268" s="1" t="s">
        <v>42</v>
      </c>
      <c r="N268" s="39" t="s">
        <v>430</v>
      </c>
      <c r="O268" t="s">
        <v>187</v>
      </c>
      <c r="P268" s="39" t="s">
        <v>435</v>
      </c>
      <c r="Q268" t="s">
        <v>42</v>
      </c>
      <c r="R268" t="s">
        <v>42</v>
      </c>
      <c r="S268" t="s">
        <v>42</v>
      </c>
      <c r="T268" t="s">
        <v>42</v>
      </c>
      <c r="U268" t="s">
        <v>489</v>
      </c>
      <c r="V268" t="s">
        <v>490</v>
      </c>
      <c r="W268" s="8" t="s">
        <v>64</v>
      </c>
      <c r="X268" t="s">
        <v>42</v>
      </c>
      <c r="Y268" s="8">
        <v>1</v>
      </c>
      <c r="Z268">
        <v>0</v>
      </c>
      <c r="AA268">
        <v>0</v>
      </c>
      <c r="AB268">
        <v>3</v>
      </c>
      <c r="AC268" s="5">
        <v>2020</v>
      </c>
      <c r="AD268" s="1">
        <v>2020</v>
      </c>
      <c r="AE268" s="6" t="s">
        <v>72</v>
      </c>
      <c r="AF268">
        <v>1</v>
      </c>
      <c r="AG268" t="s">
        <v>64</v>
      </c>
      <c r="AH268" s="1" t="s">
        <v>64</v>
      </c>
    </row>
    <row r="269" spans="1:34" ht="15" customHeight="1">
      <c r="A269" t="s">
        <v>487</v>
      </c>
      <c r="B269" t="s">
        <v>488</v>
      </c>
      <c r="C269" s="1">
        <v>2</v>
      </c>
      <c r="D269" t="s">
        <v>426</v>
      </c>
      <c r="E269" t="s">
        <v>426</v>
      </c>
      <c r="F269" t="s">
        <v>39</v>
      </c>
      <c r="G269" t="s">
        <v>184</v>
      </c>
      <c r="H269" t="s">
        <v>427</v>
      </c>
      <c r="I269" t="s">
        <v>455</v>
      </c>
      <c r="J269" t="s">
        <v>467</v>
      </c>
      <c r="K269" t="s">
        <v>42</v>
      </c>
      <c r="L269" t="s">
        <v>42</v>
      </c>
      <c r="M269" s="1" t="s">
        <v>42</v>
      </c>
      <c r="N269" s="39" t="s">
        <v>430</v>
      </c>
      <c r="O269" t="s">
        <v>187</v>
      </c>
      <c r="P269" s="39" t="s">
        <v>434</v>
      </c>
      <c r="Q269" t="s">
        <v>42</v>
      </c>
      <c r="R269" t="s">
        <v>42</v>
      </c>
      <c r="S269" t="s">
        <v>42</v>
      </c>
      <c r="T269" t="s">
        <v>42</v>
      </c>
      <c r="U269" t="s">
        <v>489</v>
      </c>
      <c r="V269" t="s">
        <v>490</v>
      </c>
      <c r="W269" s="8" t="s">
        <v>64</v>
      </c>
      <c r="X269" t="s">
        <v>42</v>
      </c>
      <c r="Y269" s="8">
        <v>1</v>
      </c>
      <c r="Z269">
        <v>0</v>
      </c>
      <c r="AA269">
        <v>0</v>
      </c>
      <c r="AB269">
        <v>3</v>
      </c>
      <c r="AC269" s="5">
        <v>2020</v>
      </c>
      <c r="AD269" s="1">
        <v>2020</v>
      </c>
      <c r="AE269" s="6" t="s">
        <v>72</v>
      </c>
      <c r="AF269">
        <v>1</v>
      </c>
      <c r="AG269" t="s">
        <v>64</v>
      </c>
      <c r="AH269" s="1" t="s">
        <v>64</v>
      </c>
    </row>
    <row r="270" spans="1:34" ht="15" customHeight="1">
      <c r="A270" t="s">
        <v>487</v>
      </c>
      <c r="B270" t="s">
        <v>488</v>
      </c>
      <c r="C270" s="1">
        <v>3</v>
      </c>
      <c r="D270" t="s">
        <v>426</v>
      </c>
      <c r="E270" t="s">
        <v>426</v>
      </c>
      <c r="F270" t="s">
        <v>39</v>
      </c>
      <c r="G270" t="s">
        <v>184</v>
      </c>
      <c r="H270" t="s">
        <v>427</v>
      </c>
      <c r="I270" t="s">
        <v>455</v>
      </c>
      <c r="J270" t="s">
        <v>467</v>
      </c>
      <c r="K270" t="s">
        <v>42</v>
      </c>
      <c r="L270" t="s">
        <v>42</v>
      </c>
      <c r="M270" s="1" t="s">
        <v>42</v>
      </c>
      <c r="N270" s="39" t="s">
        <v>430</v>
      </c>
      <c r="O270" t="s">
        <v>187</v>
      </c>
      <c r="P270" s="39" t="s">
        <v>456</v>
      </c>
      <c r="Q270" t="s">
        <v>42</v>
      </c>
      <c r="R270" t="s">
        <v>42</v>
      </c>
      <c r="S270" t="s">
        <v>42</v>
      </c>
      <c r="T270" t="s">
        <v>42</v>
      </c>
      <c r="U270" t="s">
        <v>489</v>
      </c>
      <c r="V270" t="s">
        <v>490</v>
      </c>
      <c r="W270" s="8" t="s">
        <v>64</v>
      </c>
      <c r="X270" t="s">
        <v>42</v>
      </c>
      <c r="Y270" s="8">
        <v>1</v>
      </c>
      <c r="Z270">
        <v>0</v>
      </c>
      <c r="AA270">
        <v>0</v>
      </c>
      <c r="AB270">
        <v>3</v>
      </c>
      <c r="AC270" s="5">
        <v>2020</v>
      </c>
      <c r="AD270" s="1">
        <v>2020</v>
      </c>
      <c r="AE270" s="6" t="s">
        <v>72</v>
      </c>
      <c r="AF270">
        <v>1</v>
      </c>
      <c r="AG270" t="s">
        <v>64</v>
      </c>
      <c r="AH270" s="1" t="s">
        <v>64</v>
      </c>
    </row>
    <row r="271" spans="1:34" s="9" customFormat="1" ht="15" customHeight="1">
      <c r="A271" s="9" t="s">
        <v>487</v>
      </c>
      <c r="B271" s="9" t="s">
        <v>488</v>
      </c>
      <c r="C271" s="10">
        <v>4</v>
      </c>
      <c r="D271" s="9" t="s">
        <v>426</v>
      </c>
      <c r="E271" s="9" t="s">
        <v>426</v>
      </c>
      <c r="F271" s="9" t="s">
        <v>39</v>
      </c>
      <c r="G271" s="9" t="s">
        <v>184</v>
      </c>
      <c r="H271" s="9" t="s">
        <v>427</v>
      </c>
      <c r="I271" s="9" t="s">
        <v>455</v>
      </c>
      <c r="J271" s="9" t="s">
        <v>467</v>
      </c>
      <c r="K271" s="9" t="s">
        <v>42</v>
      </c>
      <c r="L271" s="9" t="s">
        <v>42</v>
      </c>
      <c r="M271" s="10" t="s">
        <v>42</v>
      </c>
      <c r="N271" s="40" t="s">
        <v>430</v>
      </c>
      <c r="O271" s="9" t="s">
        <v>187</v>
      </c>
      <c r="P271" s="40" t="s">
        <v>431</v>
      </c>
      <c r="Q271" s="9" t="s">
        <v>42</v>
      </c>
      <c r="R271" s="9" t="s">
        <v>42</v>
      </c>
      <c r="S271" s="9" t="s">
        <v>42</v>
      </c>
      <c r="T271" s="9" t="s">
        <v>42</v>
      </c>
      <c r="U271" s="9" t="s">
        <v>489</v>
      </c>
      <c r="V271" s="9" t="s">
        <v>490</v>
      </c>
      <c r="W271" s="11" t="s">
        <v>64</v>
      </c>
      <c r="X271" s="9" t="s">
        <v>42</v>
      </c>
      <c r="Y271" s="11">
        <v>1</v>
      </c>
      <c r="Z271" s="9">
        <v>0</v>
      </c>
      <c r="AA271" s="9">
        <v>0</v>
      </c>
      <c r="AB271" s="9">
        <v>3</v>
      </c>
      <c r="AC271" s="12">
        <v>2020</v>
      </c>
      <c r="AD271" s="10">
        <v>2020</v>
      </c>
      <c r="AE271" s="13" t="s">
        <v>72</v>
      </c>
      <c r="AF271" s="9">
        <v>1</v>
      </c>
      <c r="AG271" s="9" t="s">
        <v>64</v>
      </c>
      <c r="AH271" s="10" t="s">
        <v>64</v>
      </c>
    </row>
    <row r="272" spans="1:34" ht="15" customHeight="1">
      <c r="A272" t="s">
        <v>491</v>
      </c>
      <c r="B272" s="27" t="s">
        <v>492</v>
      </c>
      <c r="C272" s="24">
        <v>1</v>
      </c>
      <c r="D272" t="s">
        <v>426</v>
      </c>
      <c r="E272" t="s">
        <v>426</v>
      </c>
      <c r="F272" t="s">
        <v>39</v>
      </c>
      <c r="G272" t="s">
        <v>40</v>
      </c>
      <c r="H272" t="s">
        <v>427</v>
      </c>
      <c r="I272" t="s">
        <v>42</v>
      </c>
      <c r="J272" t="s">
        <v>42</v>
      </c>
      <c r="K272" t="s">
        <v>42</v>
      </c>
      <c r="L272" t="s">
        <v>42</v>
      </c>
      <c r="M272" t="s">
        <v>42</v>
      </c>
      <c r="N272" s="39" t="s">
        <v>430</v>
      </c>
      <c r="O272" t="s">
        <v>187</v>
      </c>
      <c r="P272" s="39" t="s">
        <v>493</v>
      </c>
      <c r="Q272" t="s">
        <v>42</v>
      </c>
      <c r="R272" t="s">
        <v>42</v>
      </c>
      <c r="S272" t="s">
        <v>42</v>
      </c>
      <c r="T272" t="s">
        <v>42</v>
      </c>
      <c r="U272" t="s">
        <v>494</v>
      </c>
      <c r="V272" t="s">
        <v>42</v>
      </c>
      <c r="W272" s="8" t="s">
        <v>64</v>
      </c>
      <c r="X272" t="s">
        <v>42</v>
      </c>
      <c r="Y272" s="8">
        <v>1</v>
      </c>
      <c r="Z272">
        <v>0</v>
      </c>
      <c r="AA272">
        <v>0</v>
      </c>
      <c r="AB272">
        <v>0</v>
      </c>
      <c r="AC272" s="5">
        <v>2018</v>
      </c>
      <c r="AD272" s="5">
        <v>2018</v>
      </c>
      <c r="AE272" s="6" t="s">
        <v>72</v>
      </c>
      <c r="AF272">
        <v>1</v>
      </c>
      <c r="AG272" t="s">
        <v>64</v>
      </c>
      <c r="AH272" s="1" t="s">
        <v>64</v>
      </c>
    </row>
    <row r="273" spans="1:34" ht="15" customHeight="1">
      <c r="A273" t="s">
        <v>491</v>
      </c>
      <c r="B273" s="27" t="s">
        <v>492</v>
      </c>
      <c r="C273" s="24">
        <v>2</v>
      </c>
      <c r="D273" t="s">
        <v>426</v>
      </c>
      <c r="E273" t="s">
        <v>426</v>
      </c>
      <c r="F273" t="s">
        <v>39</v>
      </c>
      <c r="G273" t="s">
        <v>40</v>
      </c>
      <c r="H273" t="s">
        <v>427</v>
      </c>
      <c r="I273" t="s">
        <v>42</v>
      </c>
      <c r="J273" t="s">
        <v>42</v>
      </c>
      <c r="K273" t="s">
        <v>42</v>
      </c>
      <c r="L273" t="s">
        <v>42</v>
      </c>
      <c r="M273" t="s">
        <v>42</v>
      </c>
      <c r="N273" s="39" t="s">
        <v>430</v>
      </c>
      <c r="O273" t="s">
        <v>187</v>
      </c>
      <c r="P273" s="39" t="s">
        <v>435</v>
      </c>
      <c r="Q273" t="s">
        <v>42</v>
      </c>
      <c r="R273" t="s">
        <v>42</v>
      </c>
      <c r="S273" t="s">
        <v>42</v>
      </c>
      <c r="T273" t="s">
        <v>42</v>
      </c>
      <c r="U273" t="s">
        <v>494</v>
      </c>
      <c r="V273" t="s">
        <v>42</v>
      </c>
      <c r="W273" s="8" t="s">
        <v>64</v>
      </c>
      <c r="X273" t="s">
        <v>42</v>
      </c>
      <c r="Y273" s="8">
        <v>1</v>
      </c>
      <c r="Z273">
        <v>0</v>
      </c>
      <c r="AA273">
        <v>0</v>
      </c>
      <c r="AB273">
        <v>0</v>
      </c>
      <c r="AC273" s="5">
        <v>2018</v>
      </c>
      <c r="AD273" s="5">
        <v>2018</v>
      </c>
      <c r="AE273" s="6" t="s">
        <v>72</v>
      </c>
      <c r="AF273">
        <v>1</v>
      </c>
      <c r="AG273" t="s">
        <v>64</v>
      </c>
      <c r="AH273" s="1" t="s">
        <v>64</v>
      </c>
    </row>
    <row r="274" spans="1:34" ht="15" customHeight="1">
      <c r="A274" t="s">
        <v>491</v>
      </c>
      <c r="B274" s="27" t="s">
        <v>492</v>
      </c>
      <c r="C274" s="24">
        <v>3</v>
      </c>
      <c r="D274" t="s">
        <v>426</v>
      </c>
      <c r="E274" t="s">
        <v>426</v>
      </c>
      <c r="F274" t="s">
        <v>39</v>
      </c>
      <c r="G274" t="s">
        <v>40</v>
      </c>
      <c r="H274" t="s">
        <v>427</v>
      </c>
      <c r="I274" t="s">
        <v>42</v>
      </c>
      <c r="J274" t="s">
        <v>42</v>
      </c>
      <c r="K274" t="s">
        <v>42</v>
      </c>
      <c r="L274" t="s">
        <v>42</v>
      </c>
      <c r="M274" t="s">
        <v>42</v>
      </c>
      <c r="N274" s="39" t="s">
        <v>430</v>
      </c>
      <c r="O274" t="s">
        <v>187</v>
      </c>
      <c r="P274" s="39" t="s">
        <v>459</v>
      </c>
      <c r="Q274" t="s">
        <v>42</v>
      </c>
      <c r="R274" t="s">
        <v>42</v>
      </c>
      <c r="S274" t="s">
        <v>42</v>
      </c>
      <c r="T274" t="s">
        <v>42</v>
      </c>
      <c r="U274" t="s">
        <v>494</v>
      </c>
      <c r="V274" t="s">
        <v>42</v>
      </c>
      <c r="W274" s="8" t="s">
        <v>64</v>
      </c>
      <c r="X274" t="s">
        <v>42</v>
      </c>
      <c r="Y274" s="8">
        <v>1</v>
      </c>
      <c r="Z274">
        <v>0</v>
      </c>
      <c r="AA274">
        <v>0</v>
      </c>
      <c r="AB274">
        <v>0</v>
      </c>
      <c r="AC274" s="5">
        <v>2018</v>
      </c>
      <c r="AD274" s="5">
        <v>2018</v>
      </c>
      <c r="AE274" s="6" t="s">
        <v>72</v>
      </c>
      <c r="AF274">
        <v>1</v>
      </c>
      <c r="AG274" t="s">
        <v>64</v>
      </c>
      <c r="AH274" s="1" t="s">
        <v>64</v>
      </c>
    </row>
    <row r="275" spans="1:34" s="9" customFormat="1" ht="15" customHeight="1">
      <c r="A275" s="9" t="s">
        <v>491</v>
      </c>
      <c r="B275" s="27" t="s">
        <v>492</v>
      </c>
      <c r="C275" s="25">
        <v>4</v>
      </c>
      <c r="D275" s="9" t="s">
        <v>426</v>
      </c>
      <c r="E275" s="9" t="s">
        <v>426</v>
      </c>
      <c r="F275" s="9" t="s">
        <v>39</v>
      </c>
      <c r="G275" s="9" t="s">
        <v>184</v>
      </c>
      <c r="H275" s="9" t="s">
        <v>427</v>
      </c>
      <c r="I275" s="9" t="s">
        <v>42</v>
      </c>
      <c r="J275" s="9" t="s">
        <v>42</v>
      </c>
      <c r="K275" s="9" t="s">
        <v>42</v>
      </c>
      <c r="L275" s="9" t="s">
        <v>42</v>
      </c>
      <c r="M275" s="9" t="s">
        <v>42</v>
      </c>
      <c r="N275" s="40" t="s">
        <v>430</v>
      </c>
      <c r="O275" s="9" t="s">
        <v>187</v>
      </c>
      <c r="P275" s="40" t="s">
        <v>434</v>
      </c>
      <c r="Q275" s="9" t="s">
        <v>42</v>
      </c>
      <c r="R275" s="9" t="s">
        <v>42</v>
      </c>
      <c r="S275" s="9" t="s">
        <v>42</v>
      </c>
      <c r="T275" s="9" t="s">
        <v>42</v>
      </c>
      <c r="U275" t="s">
        <v>494</v>
      </c>
      <c r="V275" s="9" t="s">
        <v>42</v>
      </c>
      <c r="W275" s="11" t="s">
        <v>64</v>
      </c>
      <c r="X275" s="9" t="s">
        <v>42</v>
      </c>
      <c r="Y275" s="11">
        <v>1</v>
      </c>
      <c r="Z275" s="9">
        <v>0</v>
      </c>
      <c r="AA275" s="9">
        <v>0</v>
      </c>
      <c r="AB275" s="9">
        <v>0</v>
      </c>
      <c r="AC275" s="12">
        <v>2018</v>
      </c>
      <c r="AD275" s="12">
        <v>2018</v>
      </c>
      <c r="AE275" s="13" t="s">
        <v>72</v>
      </c>
      <c r="AF275" s="9">
        <v>1</v>
      </c>
      <c r="AG275" s="9" t="s">
        <v>64</v>
      </c>
      <c r="AH275" s="10" t="s">
        <v>64</v>
      </c>
    </row>
    <row r="276" spans="1:34" ht="15" customHeight="1">
      <c r="A276" s="28" t="s">
        <v>495</v>
      </c>
      <c r="B276" t="s">
        <v>496</v>
      </c>
      <c r="C276" s="1">
        <v>1</v>
      </c>
      <c r="D276" t="s">
        <v>426</v>
      </c>
      <c r="E276" t="s">
        <v>426</v>
      </c>
      <c r="F276" t="s">
        <v>39</v>
      </c>
      <c r="G276" t="s">
        <v>184</v>
      </c>
      <c r="H276" t="s">
        <v>427</v>
      </c>
      <c r="I276" t="s">
        <v>42</v>
      </c>
      <c r="J276" t="s">
        <v>42</v>
      </c>
      <c r="K276" t="s">
        <v>42</v>
      </c>
      <c r="L276" t="s">
        <v>42</v>
      </c>
      <c r="M276" t="s">
        <v>42</v>
      </c>
      <c r="N276" s="39" t="s">
        <v>430</v>
      </c>
      <c r="O276" t="s">
        <v>187</v>
      </c>
      <c r="P276" s="39" t="s">
        <v>435</v>
      </c>
      <c r="Q276" t="s">
        <v>42</v>
      </c>
      <c r="R276" t="s">
        <v>42</v>
      </c>
      <c r="S276" t="s">
        <v>42</v>
      </c>
      <c r="T276" t="s">
        <v>42</v>
      </c>
      <c r="U276" t="s">
        <v>497</v>
      </c>
      <c r="V276" t="s">
        <v>498</v>
      </c>
      <c r="W276" s="8" t="s">
        <v>64</v>
      </c>
      <c r="X276" t="s">
        <v>42</v>
      </c>
      <c r="Y276" s="8">
        <v>0</v>
      </c>
      <c r="Z276">
        <v>0</v>
      </c>
      <c r="AA276">
        <v>21</v>
      </c>
      <c r="AB276">
        <v>0</v>
      </c>
      <c r="AC276" s="5">
        <v>2018</v>
      </c>
      <c r="AD276" s="1">
        <v>2019</v>
      </c>
      <c r="AE276" s="6">
        <v>1</v>
      </c>
      <c r="AF276">
        <v>1</v>
      </c>
      <c r="AG276" t="s">
        <v>64</v>
      </c>
      <c r="AH276" s="1" t="s">
        <v>64</v>
      </c>
    </row>
    <row r="277" spans="1:34" ht="15" customHeight="1">
      <c r="A277" s="28" t="s">
        <v>495</v>
      </c>
      <c r="B277" t="s">
        <v>496</v>
      </c>
      <c r="C277" s="1">
        <v>2</v>
      </c>
      <c r="D277" t="s">
        <v>426</v>
      </c>
      <c r="E277" t="s">
        <v>426</v>
      </c>
      <c r="F277" t="s">
        <v>39</v>
      </c>
      <c r="G277" t="s">
        <v>184</v>
      </c>
      <c r="H277" t="s">
        <v>427</v>
      </c>
      <c r="I277" t="s">
        <v>42</v>
      </c>
      <c r="J277" t="s">
        <v>42</v>
      </c>
      <c r="K277" t="s">
        <v>42</v>
      </c>
      <c r="L277" t="s">
        <v>42</v>
      </c>
      <c r="M277" t="s">
        <v>42</v>
      </c>
      <c r="N277" s="39" t="s">
        <v>430</v>
      </c>
      <c r="O277" t="s">
        <v>187</v>
      </c>
      <c r="P277" s="39" t="s">
        <v>493</v>
      </c>
      <c r="Q277" t="s">
        <v>42</v>
      </c>
      <c r="R277" t="s">
        <v>42</v>
      </c>
      <c r="S277" t="s">
        <v>42</v>
      </c>
      <c r="T277" t="s">
        <v>42</v>
      </c>
      <c r="U277" t="s">
        <v>499</v>
      </c>
      <c r="V277" t="s">
        <v>498</v>
      </c>
      <c r="W277" s="8" t="s">
        <v>64</v>
      </c>
      <c r="X277" t="s">
        <v>42</v>
      </c>
      <c r="Y277" s="8">
        <v>0</v>
      </c>
      <c r="Z277">
        <v>0</v>
      </c>
      <c r="AA277">
        <v>21</v>
      </c>
      <c r="AB277">
        <v>0</v>
      </c>
      <c r="AC277" s="5">
        <v>2018</v>
      </c>
      <c r="AD277" s="1">
        <v>2019</v>
      </c>
      <c r="AE277" s="6">
        <v>1</v>
      </c>
      <c r="AF277">
        <v>1</v>
      </c>
      <c r="AG277" t="s">
        <v>64</v>
      </c>
      <c r="AH277" s="1" t="s">
        <v>64</v>
      </c>
    </row>
    <row r="278" spans="1:34" ht="15" customHeight="1">
      <c r="A278" s="28" t="s">
        <v>495</v>
      </c>
      <c r="B278" t="s">
        <v>496</v>
      </c>
      <c r="C278" s="1">
        <v>3</v>
      </c>
      <c r="D278" t="s">
        <v>426</v>
      </c>
      <c r="E278" t="s">
        <v>426</v>
      </c>
      <c r="F278" t="s">
        <v>39</v>
      </c>
      <c r="G278" t="s">
        <v>184</v>
      </c>
      <c r="H278" t="s">
        <v>427</v>
      </c>
      <c r="I278" t="s">
        <v>42</v>
      </c>
      <c r="J278" t="s">
        <v>42</v>
      </c>
      <c r="K278" t="s">
        <v>42</v>
      </c>
      <c r="L278" t="s">
        <v>42</v>
      </c>
      <c r="M278" t="s">
        <v>42</v>
      </c>
      <c r="N278" s="39" t="s">
        <v>430</v>
      </c>
      <c r="O278" t="s">
        <v>187</v>
      </c>
      <c r="P278" s="39" t="s">
        <v>431</v>
      </c>
      <c r="Q278" t="s">
        <v>42</v>
      </c>
      <c r="R278" t="s">
        <v>42</v>
      </c>
      <c r="S278" t="s">
        <v>42</v>
      </c>
      <c r="T278" t="s">
        <v>42</v>
      </c>
      <c r="U278" t="s">
        <v>499</v>
      </c>
      <c r="V278" t="s">
        <v>498</v>
      </c>
      <c r="W278" s="8" t="s">
        <v>64</v>
      </c>
      <c r="X278" t="s">
        <v>42</v>
      </c>
      <c r="Y278" s="8">
        <v>0</v>
      </c>
      <c r="Z278">
        <v>0</v>
      </c>
      <c r="AA278">
        <v>21</v>
      </c>
      <c r="AB278">
        <v>0</v>
      </c>
      <c r="AC278" s="5">
        <v>2018</v>
      </c>
      <c r="AD278" s="1">
        <v>2019</v>
      </c>
      <c r="AE278" s="6">
        <v>1</v>
      </c>
      <c r="AF278">
        <v>1</v>
      </c>
      <c r="AG278" t="s">
        <v>64</v>
      </c>
      <c r="AH278" s="1" t="s">
        <v>64</v>
      </c>
    </row>
    <row r="279" spans="1:34" ht="15" customHeight="1">
      <c r="A279" s="28" t="s">
        <v>495</v>
      </c>
      <c r="B279" t="s">
        <v>496</v>
      </c>
      <c r="C279" s="1">
        <v>4</v>
      </c>
      <c r="D279" t="s">
        <v>426</v>
      </c>
      <c r="E279" t="s">
        <v>426</v>
      </c>
      <c r="F279" t="s">
        <v>39</v>
      </c>
      <c r="G279" t="s">
        <v>184</v>
      </c>
      <c r="H279" t="s">
        <v>427</v>
      </c>
      <c r="I279" t="s">
        <v>42</v>
      </c>
      <c r="J279" t="s">
        <v>42</v>
      </c>
      <c r="K279" t="s">
        <v>42</v>
      </c>
      <c r="L279" t="s">
        <v>42</v>
      </c>
      <c r="M279" t="s">
        <v>42</v>
      </c>
      <c r="N279" s="39" t="s">
        <v>430</v>
      </c>
      <c r="O279" t="s">
        <v>187</v>
      </c>
      <c r="P279" s="39" t="s">
        <v>434</v>
      </c>
      <c r="Q279" t="s">
        <v>42</v>
      </c>
      <c r="R279" t="s">
        <v>42</v>
      </c>
      <c r="S279" t="s">
        <v>42</v>
      </c>
      <c r="T279" t="s">
        <v>42</v>
      </c>
      <c r="U279" t="s">
        <v>499</v>
      </c>
      <c r="V279" t="s">
        <v>498</v>
      </c>
      <c r="W279" s="8" t="s">
        <v>64</v>
      </c>
      <c r="X279" t="s">
        <v>42</v>
      </c>
      <c r="Y279" s="8">
        <v>0</v>
      </c>
      <c r="Z279">
        <v>0</v>
      </c>
      <c r="AA279">
        <v>21</v>
      </c>
      <c r="AB279">
        <v>0</v>
      </c>
      <c r="AC279" s="5">
        <v>2018</v>
      </c>
      <c r="AD279" s="1">
        <v>2019</v>
      </c>
      <c r="AE279" s="6">
        <v>1</v>
      </c>
      <c r="AF279">
        <v>1</v>
      </c>
      <c r="AG279" t="s">
        <v>64</v>
      </c>
      <c r="AH279" s="1" t="s">
        <v>64</v>
      </c>
    </row>
    <row r="280" spans="1:34" ht="15" customHeight="1">
      <c r="A280" s="28" t="s">
        <v>495</v>
      </c>
      <c r="B280" t="s">
        <v>496</v>
      </c>
      <c r="C280" s="1">
        <v>5</v>
      </c>
      <c r="D280" t="s">
        <v>426</v>
      </c>
      <c r="E280" t="s">
        <v>426</v>
      </c>
      <c r="F280" t="s">
        <v>39</v>
      </c>
      <c r="G280" t="s">
        <v>184</v>
      </c>
      <c r="H280" t="s">
        <v>427</v>
      </c>
      <c r="I280" t="s">
        <v>42</v>
      </c>
      <c r="J280" t="s">
        <v>42</v>
      </c>
      <c r="K280" t="s">
        <v>42</v>
      </c>
      <c r="L280" t="s">
        <v>42</v>
      </c>
      <c r="M280" t="s">
        <v>42</v>
      </c>
      <c r="N280" s="39" t="s">
        <v>430</v>
      </c>
      <c r="O280" t="s">
        <v>187</v>
      </c>
      <c r="P280" s="39" t="s">
        <v>459</v>
      </c>
      <c r="Q280" t="s">
        <v>42</v>
      </c>
      <c r="R280" t="s">
        <v>42</v>
      </c>
      <c r="S280" t="s">
        <v>42</v>
      </c>
      <c r="T280" t="s">
        <v>42</v>
      </c>
      <c r="U280" t="s">
        <v>497</v>
      </c>
      <c r="V280" t="s">
        <v>498</v>
      </c>
      <c r="W280" s="8" t="s">
        <v>64</v>
      </c>
      <c r="X280" t="s">
        <v>42</v>
      </c>
      <c r="Y280" s="8">
        <v>0</v>
      </c>
      <c r="Z280">
        <v>0</v>
      </c>
      <c r="AA280">
        <v>21</v>
      </c>
      <c r="AB280">
        <v>0</v>
      </c>
      <c r="AC280" s="5">
        <v>2018</v>
      </c>
      <c r="AD280" s="1">
        <v>2019</v>
      </c>
      <c r="AE280" s="6">
        <v>1</v>
      </c>
      <c r="AF280">
        <v>1</v>
      </c>
      <c r="AG280" t="s">
        <v>64</v>
      </c>
      <c r="AH280" s="1" t="s">
        <v>64</v>
      </c>
    </row>
    <row r="281" spans="1:34" s="9" customFormat="1" ht="15" customHeight="1">
      <c r="A281" s="29" t="s">
        <v>495</v>
      </c>
      <c r="B281" s="9" t="s">
        <v>496</v>
      </c>
      <c r="C281" s="10">
        <v>6</v>
      </c>
      <c r="D281" s="9" t="s">
        <v>426</v>
      </c>
      <c r="E281" s="9" t="s">
        <v>426</v>
      </c>
      <c r="F281" s="9" t="s">
        <v>39</v>
      </c>
      <c r="G281" s="9" t="s">
        <v>184</v>
      </c>
      <c r="H281" s="9" t="s">
        <v>427</v>
      </c>
      <c r="I281" s="9" t="s">
        <v>42</v>
      </c>
      <c r="J281" s="9" t="s">
        <v>42</v>
      </c>
      <c r="K281" s="9" t="s">
        <v>42</v>
      </c>
      <c r="L281" s="9" t="s">
        <v>42</v>
      </c>
      <c r="M281" s="9" t="s">
        <v>42</v>
      </c>
      <c r="N281" s="40" t="s">
        <v>430</v>
      </c>
      <c r="O281" s="9" t="s">
        <v>187</v>
      </c>
      <c r="P281" s="40" t="s">
        <v>456</v>
      </c>
      <c r="Q281" s="9" t="s">
        <v>42</v>
      </c>
      <c r="R281" s="9" t="s">
        <v>42</v>
      </c>
      <c r="S281" s="9" t="s">
        <v>42</v>
      </c>
      <c r="T281" s="9" t="s">
        <v>42</v>
      </c>
      <c r="U281" s="9" t="s">
        <v>499</v>
      </c>
      <c r="V281" s="9" t="s">
        <v>498</v>
      </c>
      <c r="W281" s="11" t="s">
        <v>64</v>
      </c>
      <c r="X281" s="9" t="s">
        <v>42</v>
      </c>
      <c r="Y281" s="11">
        <v>0</v>
      </c>
      <c r="Z281" s="9">
        <v>0</v>
      </c>
      <c r="AA281" s="9">
        <v>21</v>
      </c>
      <c r="AB281" s="9">
        <v>0</v>
      </c>
      <c r="AC281" s="12">
        <v>2018</v>
      </c>
      <c r="AD281" s="10">
        <v>2019</v>
      </c>
      <c r="AE281" s="13">
        <v>1</v>
      </c>
      <c r="AF281" s="9">
        <v>1</v>
      </c>
      <c r="AG281" s="9" t="s">
        <v>64</v>
      </c>
      <c r="AH281" s="10" t="s">
        <v>64</v>
      </c>
    </row>
    <row r="282" spans="1:34" ht="15" customHeight="1">
      <c r="A282" t="s">
        <v>500</v>
      </c>
      <c r="B282" t="s">
        <v>501</v>
      </c>
      <c r="C282" s="24">
        <v>1</v>
      </c>
      <c r="D282" t="s">
        <v>502</v>
      </c>
      <c r="E282" t="s">
        <v>426</v>
      </c>
      <c r="F282" t="s">
        <v>39</v>
      </c>
      <c r="G282" t="s">
        <v>184</v>
      </c>
      <c r="H282" t="s">
        <v>427</v>
      </c>
      <c r="I282" t="s">
        <v>467</v>
      </c>
      <c r="J282" t="s">
        <v>503</v>
      </c>
      <c r="K282" t="s">
        <v>42</v>
      </c>
      <c r="L282" t="s">
        <v>42</v>
      </c>
      <c r="M282" t="s">
        <v>42</v>
      </c>
      <c r="N282" s="39" t="s">
        <v>430</v>
      </c>
      <c r="O282" t="s">
        <v>187</v>
      </c>
      <c r="P282" s="39" t="s">
        <v>434</v>
      </c>
      <c r="Q282" t="s">
        <v>42</v>
      </c>
      <c r="R282" t="s">
        <v>42</v>
      </c>
      <c r="S282" t="s">
        <v>42</v>
      </c>
      <c r="T282" t="s">
        <v>42</v>
      </c>
      <c r="U282" t="s">
        <v>504</v>
      </c>
      <c r="V282" t="s">
        <v>42</v>
      </c>
      <c r="W282" s="8" t="s">
        <v>64</v>
      </c>
      <c r="X282" t="s">
        <v>42</v>
      </c>
      <c r="Y282" s="8">
        <v>0</v>
      </c>
      <c r="Z282">
        <v>0</v>
      </c>
      <c r="AA282">
        <v>2</v>
      </c>
      <c r="AB282">
        <v>0</v>
      </c>
      <c r="AC282" s="5">
        <v>2008</v>
      </c>
      <c r="AD282" s="1">
        <v>2010</v>
      </c>
      <c r="AE282" s="6">
        <f t="shared" ref="AE282:AE312" si="6">AD282-AC282</f>
        <v>2</v>
      </c>
      <c r="AF282">
        <v>1</v>
      </c>
      <c r="AG282" t="s">
        <v>64</v>
      </c>
      <c r="AH282" s="1" t="s">
        <v>64</v>
      </c>
    </row>
    <row r="283" spans="1:34" ht="15" customHeight="1">
      <c r="A283" t="s">
        <v>500</v>
      </c>
      <c r="B283" t="s">
        <v>501</v>
      </c>
      <c r="C283" s="24">
        <v>2</v>
      </c>
      <c r="D283" t="s">
        <v>502</v>
      </c>
      <c r="E283" t="s">
        <v>426</v>
      </c>
      <c r="F283" t="s">
        <v>39</v>
      </c>
      <c r="G283" t="s">
        <v>184</v>
      </c>
      <c r="H283" t="s">
        <v>427</v>
      </c>
      <c r="I283" t="s">
        <v>467</v>
      </c>
      <c r="J283" t="s">
        <v>503</v>
      </c>
      <c r="K283" t="s">
        <v>42</v>
      </c>
      <c r="L283" t="s">
        <v>42</v>
      </c>
      <c r="M283" t="s">
        <v>42</v>
      </c>
      <c r="N283" s="39" t="s">
        <v>430</v>
      </c>
      <c r="O283" t="s">
        <v>187</v>
      </c>
      <c r="P283" s="39" t="s">
        <v>431</v>
      </c>
      <c r="Q283" t="s">
        <v>42</v>
      </c>
      <c r="R283" t="s">
        <v>42</v>
      </c>
      <c r="S283" t="s">
        <v>42</v>
      </c>
      <c r="T283" t="s">
        <v>42</v>
      </c>
      <c r="U283" t="s">
        <v>504</v>
      </c>
      <c r="V283" t="s">
        <v>42</v>
      </c>
      <c r="W283" s="8" t="s">
        <v>64</v>
      </c>
      <c r="X283" t="s">
        <v>42</v>
      </c>
      <c r="Y283" s="8">
        <v>0</v>
      </c>
      <c r="Z283">
        <v>0</v>
      </c>
      <c r="AA283">
        <v>2</v>
      </c>
      <c r="AB283">
        <v>0</v>
      </c>
      <c r="AC283" s="5">
        <v>2008</v>
      </c>
      <c r="AD283" s="1">
        <v>2010</v>
      </c>
      <c r="AE283" s="6">
        <f t="shared" si="6"/>
        <v>2</v>
      </c>
      <c r="AF283">
        <v>1</v>
      </c>
      <c r="AG283" t="s">
        <v>64</v>
      </c>
      <c r="AH283" s="1" t="s">
        <v>64</v>
      </c>
    </row>
    <row r="284" spans="1:34" ht="15" customHeight="1">
      <c r="A284" t="s">
        <v>500</v>
      </c>
      <c r="B284" t="s">
        <v>501</v>
      </c>
      <c r="C284" s="24">
        <v>3</v>
      </c>
      <c r="D284" t="s">
        <v>502</v>
      </c>
      <c r="E284" t="s">
        <v>426</v>
      </c>
      <c r="F284" t="s">
        <v>39</v>
      </c>
      <c r="G284" t="s">
        <v>184</v>
      </c>
      <c r="H284" t="s">
        <v>427</v>
      </c>
      <c r="I284" t="s">
        <v>467</v>
      </c>
      <c r="J284" t="s">
        <v>503</v>
      </c>
      <c r="K284" t="s">
        <v>42</v>
      </c>
      <c r="L284" t="s">
        <v>42</v>
      </c>
      <c r="M284" t="s">
        <v>42</v>
      </c>
      <c r="N284" s="39" t="s">
        <v>430</v>
      </c>
      <c r="O284" t="s">
        <v>187</v>
      </c>
      <c r="P284" s="39" t="s">
        <v>493</v>
      </c>
      <c r="Q284" t="s">
        <v>42</v>
      </c>
      <c r="R284" t="s">
        <v>42</v>
      </c>
      <c r="S284" t="s">
        <v>42</v>
      </c>
      <c r="T284" t="s">
        <v>42</v>
      </c>
      <c r="U284" t="s">
        <v>504</v>
      </c>
      <c r="V284" t="s">
        <v>42</v>
      </c>
      <c r="W284" s="8" t="s">
        <v>64</v>
      </c>
      <c r="X284" t="s">
        <v>42</v>
      </c>
      <c r="Y284" s="8">
        <v>0</v>
      </c>
      <c r="Z284">
        <v>0</v>
      </c>
      <c r="AA284">
        <v>2</v>
      </c>
      <c r="AB284">
        <v>0</v>
      </c>
      <c r="AC284" s="5">
        <v>2008</v>
      </c>
      <c r="AD284" s="1">
        <v>2010</v>
      </c>
      <c r="AE284" s="6">
        <f t="shared" si="6"/>
        <v>2</v>
      </c>
      <c r="AF284">
        <v>1</v>
      </c>
      <c r="AG284" t="s">
        <v>64</v>
      </c>
      <c r="AH284" s="1" t="s">
        <v>64</v>
      </c>
    </row>
    <row r="285" spans="1:34" ht="15" customHeight="1">
      <c r="A285" t="s">
        <v>500</v>
      </c>
      <c r="B285" t="s">
        <v>501</v>
      </c>
      <c r="C285" s="24">
        <v>4</v>
      </c>
      <c r="D285" t="s">
        <v>502</v>
      </c>
      <c r="E285" t="s">
        <v>426</v>
      </c>
      <c r="F285" t="s">
        <v>39</v>
      </c>
      <c r="G285" t="s">
        <v>184</v>
      </c>
      <c r="H285" t="s">
        <v>427</v>
      </c>
      <c r="I285" t="s">
        <v>467</v>
      </c>
      <c r="J285" t="s">
        <v>503</v>
      </c>
      <c r="K285" t="s">
        <v>42</v>
      </c>
      <c r="L285" t="s">
        <v>42</v>
      </c>
      <c r="M285" t="s">
        <v>42</v>
      </c>
      <c r="N285" s="39" t="s">
        <v>430</v>
      </c>
      <c r="O285" t="s">
        <v>187</v>
      </c>
      <c r="P285" s="39" t="s">
        <v>435</v>
      </c>
      <c r="Q285" t="s">
        <v>42</v>
      </c>
      <c r="R285" t="s">
        <v>42</v>
      </c>
      <c r="S285" t="s">
        <v>42</v>
      </c>
      <c r="T285" t="s">
        <v>42</v>
      </c>
      <c r="U285" t="s">
        <v>504</v>
      </c>
      <c r="V285" t="s">
        <v>42</v>
      </c>
      <c r="W285" s="8" t="s">
        <v>64</v>
      </c>
      <c r="X285" t="s">
        <v>42</v>
      </c>
      <c r="Y285" s="8">
        <v>0</v>
      </c>
      <c r="Z285">
        <v>0</v>
      </c>
      <c r="AA285">
        <v>2</v>
      </c>
      <c r="AB285">
        <v>0</v>
      </c>
      <c r="AC285" s="5">
        <v>2008</v>
      </c>
      <c r="AD285" s="1">
        <v>2010</v>
      </c>
      <c r="AE285" s="6">
        <f t="shared" si="6"/>
        <v>2</v>
      </c>
      <c r="AF285">
        <v>1</v>
      </c>
      <c r="AG285" t="s">
        <v>64</v>
      </c>
      <c r="AH285" s="1" t="s">
        <v>64</v>
      </c>
    </row>
    <row r="286" spans="1:34" ht="15" customHeight="1">
      <c r="A286" t="s">
        <v>500</v>
      </c>
      <c r="B286" t="s">
        <v>501</v>
      </c>
      <c r="C286" s="24">
        <v>5</v>
      </c>
      <c r="D286" t="s">
        <v>502</v>
      </c>
      <c r="E286" t="s">
        <v>426</v>
      </c>
      <c r="F286" t="s">
        <v>39</v>
      </c>
      <c r="G286" t="s">
        <v>184</v>
      </c>
      <c r="H286" t="s">
        <v>427</v>
      </c>
      <c r="I286" t="s">
        <v>467</v>
      </c>
      <c r="J286" t="s">
        <v>503</v>
      </c>
      <c r="K286" t="s">
        <v>42</v>
      </c>
      <c r="L286" t="s">
        <v>42</v>
      </c>
      <c r="M286" t="s">
        <v>42</v>
      </c>
      <c r="N286" s="39" t="s">
        <v>430</v>
      </c>
      <c r="O286" t="s">
        <v>187</v>
      </c>
      <c r="P286" s="39" t="s">
        <v>456</v>
      </c>
      <c r="Q286" t="s">
        <v>42</v>
      </c>
      <c r="R286" t="s">
        <v>42</v>
      </c>
      <c r="S286" t="s">
        <v>42</v>
      </c>
      <c r="T286" t="s">
        <v>42</v>
      </c>
      <c r="U286" t="s">
        <v>504</v>
      </c>
      <c r="V286" t="s">
        <v>42</v>
      </c>
      <c r="W286" s="8" t="s">
        <v>64</v>
      </c>
      <c r="X286" t="s">
        <v>42</v>
      </c>
      <c r="Y286" s="8">
        <v>0</v>
      </c>
      <c r="Z286">
        <v>0</v>
      </c>
      <c r="AA286">
        <v>2</v>
      </c>
      <c r="AB286">
        <v>0</v>
      </c>
      <c r="AC286" s="5">
        <v>2008</v>
      </c>
      <c r="AD286" s="1">
        <v>2010</v>
      </c>
      <c r="AE286" s="6">
        <f t="shared" si="6"/>
        <v>2</v>
      </c>
      <c r="AF286">
        <v>1</v>
      </c>
      <c r="AG286" t="s">
        <v>64</v>
      </c>
      <c r="AH286" s="1" t="s">
        <v>64</v>
      </c>
    </row>
    <row r="287" spans="1:34" ht="15" customHeight="1">
      <c r="A287" t="s">
        <v>500</v>
      </c>
      <c r="B287" t="s">
        <v>501</v>
      </c>
      <c r="C287" s="24">
        <v>6</v>
      </c>
      <c r="D287" t="s">
        <v>502</v>
      </c>
      <c r="E287" t="s">
        <v>397</v>
      </c>
      <c r="F287" t="s">
        <v>123</v>
      </c>
      <c r="G287" t="s">
        <v>40</v>
      </c>
      <c r="H287" t="s">
        <v>467</v>
      </c>
      <c r="I287" t="s">
        <v>42</v>
      </c>
      <c r="J287" t="s">
        <v>42</v>
      </c>
      <c r="K287" t="s">
        <v>117</v>
      </c>
      <c r="L287" t="s">
        <v>505</v>
      </c>
      <c r="M287" s="1" t="s">
        <v>42</v>
      </c>
      <c r="N287" s="39" t="s">
        <v>506</v>
      </c>
      <c r="O287" t="s">
        <v>86</v>
      </c>
      <c r="P287" s="39" t="s">
        <v>507</v>
      </c>
      <c r="Q287" t="s">
        <v>42</v>
      </c>
      <c r="R287" t="s">
        <v>42</v>
      </c>
      <c r="S287" t="s">
        <v>508</v>
      </c>
      <c r="T287" t="s">
        <v>42</v>
      </c>
      <c r="U287" t="s">
        <v>42</v>
      </c>
      <c r="V287" t="s">
        <v>42</v>
      </c>
      <c r="W287" s="8" t="s">
        <v>64</v>
      </c>
      <c r="X287" t="s">
        <v>42</v>
      </c>
      <c r="Y287" s="8">
        <v>0</v>
      </c>
      <c r="Z287">
        <v>0</v>
      </c>
      <c r="AA287">
        <v>2</v>
      </c>
      <c r="AB287">
        <v>0</v>
      </c>
      <c r="AC287" s="5">
        <v>1999</v>
      </c>
      <c r="AD287" s="1">
        <v>2010</v>
      </c>
      <c r="AE287" s="6">
        <f t="shared" si="6"/>
        <v>11</v>
      </c>
      <c r="AF287">
        <v>10</v>
      </c>
      <c r="AG287" t="s">
        <v>64</v>
      </c>
      <c r="AH287" s="1" t="s">
        <v>64</v>
      </c>
    </row>
    <row r="288" spans="1:34" ht="15" customHeight="1">
      <c r="A288" t="s">
        <v>500</v>
      </c>
      <c r="B288" t="s">
        <v>501</v>
      </c>
      <c r="C288" s="24">
        <v>7</v>
      </c>
      <c r="D288" t="s">
        <v>502</v>
      </c>
      <c r="E288" t="s">
        <v>397</v>
      </c>
      <c r="F288" t="s">
        <v>123</v>
      </c>
      <c r="G288" t="s">
        <v>40</v>
      </c>
      <c r="H288" t="s">
        <v>467</v>
      </c>
      <c r="I288" t="s">
        <v>42</v>
      </c>
      <c r="J288" t="s">
        <v>42</v>
      </c>
      <c r="K288" t="s">
        <v>117</v>
      </c>
      <c r="L288" t="s">
        <v>505</v>
      </c>
      <c r="M288" s="1" t="s">
        <v>42</v>
      </c>
      <c r="N288" s="39" t="s">
        <v>506</v>
      </c>
      <c r="O288" t="s">
        <v>86</v>
      </c>
      <c r="P288" s="39" t="s">
        <v>509</v>
      </c>
      <c r="Q288" t="s">
        <v>42</v>
      </c>
      <c r="R288" t="s">
        <v>42</v>
      </c>
      <c r="S288" t="s">
        <v>508</v>
      </c>
      <c r="T288" t="s">
        <v>42</v>
      </c>
      <c r="U288" t="s">
        <v>42</v>
      </c>
      <c r="V288" t="s">
        <v>42</v>
      </c>
      <c r="W288" s="8" t="s">
        <v>64</v>
      </c>
      <c r="X288" t="s">
        <v>42</v>
      </c>
      <c r="Y288" s="8">
        <v>0</v>
      </c>
      <c r="Z288">
        <v>0</v>
      </c>
      <c r="AA288">
        <v>2</v>
      </c>
      <c r="AB288">
        <v>0</v>
      </c>
      <c r="AC288" s="5">
        <v>1999</v>
      </c>
      <c r="AD288" s="1">
        <v>2010</v>
      </c>
      <c r="AE288" s="6">
        <f t="shared" si="6"/>
        <v>11</v>
      </c>
      <c r="AF288">
        <v>10</v>
      </c>
      <c r="AG288" t="s">
        <v>64</v>
      </c>
      <c r="AH288" s="1" t="s">
        <v>64</v>
      </c>
    </row>
    <row r="289" spans="1:34" ht="15" customHeight="1">
      <c r="A289" t="s">
        <v>500</v>
      </c>
      <c r="B289" t="s">
        <v>501</v>
      </c>
      <c r="C289" s="24">
        <v>8</v>
      </c>
      <c r="D289" t="s">
        <v>502</v>
      </c>
      <c r="E289" t="s">
        <v>397</v>
      </c>
      <c r="F289" t="s">
        <v>123</v>
      </c>
      <c r="G289" t="s">
        <v>40</v>
      </c>
      <c r="H289" t="s">
        <v>467</v>
      </c>
      <c r="I289" t="s">
        <v>42</v>
      </c>
      <c r="J289" t="s">
        <v>42</v>
      </c>
      <c r="K289" t="s">
        <v>117</v>
      </c>
      <c r="L289" t="s">
        <v>505</v>
      </c>
      <c r="M289" s="1" t="s">
        <v>42</v>
      </c>
      <c r="N289" s="39" t="s">
        <v>506</v>
      </c>
      <c r="O289" t="s">
        <v>86</v>
      </c>
      <c r="P289" s="39" t="s">
        <v>510</v>
      </c>
      <c r="Q289" t="s">
        <v>42</v>
      </c>
      <c r="R289" t="s">
        <v>42</v>
      </c>
      <c r="S289" t="s">
        <v>511</v>
      </c>
      <c r="T289" t="s">
        <v>42</v>
      </c>
      <c r="U289" t="s">
        <v>42</v>
      </c>
      <c r="V289" t="s">
        <v>42</v>
      </c>
      <c r="W289" s="8" t="s">
        <v>64</v>
      </c>
      <c r="X289" t="s">
        <v>42</v>
      </c>
      <c r="Y289" s="8">
        <v>0</v>
      </c>
      <c r="Z289">
        <v>0</v>
      </c>
      <c r="AA289">
        <v>2</v>
      </c>
      <c r="AB289">
        <v>0</v>
      </c>
      <c r="AC289" s="5">
        <v>1999</v>
      </c>
      <c r="AD289" s="1">
        <v>2010</v>
      </c>
      <c r="AE289" s="6">
        <f t="shared" si="6"/>
        <v>11</v>
      </c>
      <c r="AF289">
        <v>10</v>
      </c>
      <c r="AG289" t="s">
        <v>64</v>
      </c>
      <c r="AH289" s="1" t="s">
        <v>64</v>
      </c>
    </row>
    <row r="290" spans="1:34" ht="15" customHeight="1">
      <c r="A290" t="s">
        <v>500</v>
      </c>
      <c r="B290" t="s">
        <v>501</v>
      </c>
      <c r="C290" s="24">
        <v>9</v>
      </c>
      <c r="D290" t="s">
        <v>502</v>
      </c>
      <c r="E290" t="s">
        <v>397</v>
      </c>
      <c r="F290" t="s">
        <v>123</v>
      </c>
      <c r="G290" t="s">
        <v>40</v>
      </c>
      <c r="H290" t="s">
        <v>467</v>
      </c>
      <c r="I290" t="s">
        <v>42</v>
      </c>
      <c r="J290" t="s">
        <v>42</v>
      </c>
      <c r="K290" t="s">
        <v>117</v>
      </c>
      <c r="L290" t="s">
        <v>505</v>
      </c>
      <c r="M290" s="1" t="s">
        <v>42</v>
      </c>
      <c r="N290" s="39" t="s">
        <v>506</v>
      </c>
      <c r="O290" t="s">
        <v>86</v>
      </c>
      <c r="P290" s="39" t="s">
        <v>512</v>
      </c>
      <c r="Q290" t="s">
        <v>42</v>
      </c>
      <c r="R290" t="s">
        <v>42</v>
      </c>
      <c r="S290" t="s">
        <v>513</v>
      </c>
      <c r="T290" t="s">
        <v>42</v>
      </c>
      <c r="U290" t="s">
        <v>42</v>
      </c>
      <c r="V290" t="s">
        <v>42</v>
      </c>
      <c r="W290" s="8" t="s">
        <v>64</v>
      </c>
      <c r="X290" t="s">
        <v>42</v>
      </c>
      <c r="Y290" s="8">
        <v>0</v>
      </c>
      <c r="Z290">
        <v>0</v>
      </c>
      <c r="AA290">
        <v>2</v>
      </c>
      <c r="AB290">
        <v>0</v>
      </c>
      <c r="AC290" s="5">
        <v>1999</v>
      </c>
      <c r="AD290" s="1">
        <v>2010</v>
      </c>
      <c r="AE290" s="6">
        <f t="shared" si="6"/>
        <v>11</v>
      </c>
      <c r="AF290">
        <v>10</v>
      </c>
      <c r="AG290" t="s">
        <v>64</v>
      </c>
      <c r="AH290" s="1" t="s">
        <v>64</v>
      </c>
    </row>
    <row r="291" spans="1:34" ht="15" customHeight="1">
      <c r="A291" t="s">
        <v>500</v>
      </c>
      <c r="B291" t="s">
        <v>501</v>
      </c>
      <c r="C291" s="24">
        <v>10</v>
      </c>
      <c r="D291" t="s">
        <v>502</v>
      </c>
      <c r="E291" t="s">
        <v>397</v>
      </c>
      <c r="F291" t="s">
        <v>123</v>
      </c>
      <c r="G291" t="s">
        <v>40</v>
      </c>
      <c r="H291" t="s">
        <v>467</v>
      </c>
      <c r="I291" t="s">
        <v>42</v>
      </c>
      <c r="J291" t="s">
        <v>42</v>
      </c>
      <c r="K291" t="s">
        <v>117</v>
      </c>
      <c r="L291" t="s">
        <v>505</v>
      </c>
      <c r="M291" s="1" t="s">
        <v>42</v>
      </c>
      <c r="N291" s="39" t="s">
        <v>506</v>
      </c>
      <c r="O291" t="s">
        <v>86</v>
      </c>
      <c r="P291" s="39" t="s">
        <v>510</v>
      </c>
      <c r="Q291" t="s">
        <v>42</v>
      </c>
      <c r="R291" t="s">
        <v>42</v>
      </c>
      <c r="S291" t="s">
        <v>514</v>
      </c>
      <c r="T291" t="s">
        <v>42</v>
      </c>
      <c r="U291" t="s">
        <v>42</v>
      </c>
      <c r="V291" t="s">
        <v>42</v>
      </c>
      <c r="W291" s="8" t="s">
        <v>64</v>
      </c>
      <c r="X291" t="s">
        <v>42</v>
      </c>
      <c r="Y291" s="8">
        <v>0</v>
      </c>
      <c r="Z291">
        <v>0</v>
      </c>
      <c r="AA291">
        <v>2</v>
      </c>
      <c r="AB291">
        <v>0</v>
      </c>
      <c r="AC291" s="5">
        <v>1999</v>
      </c>
      <c r="AD291" s="1">
        <v>2010</v>
      </c>
      <c r="AE291" s="6">
        <f t="shared" si="6"/>
        <v>11</v>
      </c>
      <c r="AF291">
        <v>10</v>
      </c>
      <c r="AG291" t="s">
        <v>64</v>
      </c>
      <c r="AH291" s="1" t="s">
        <v>64</v>
      </c>
    </row>
    <row r="292" spans="1:34" s="9" customFormat="1" ht="15" customHeight="1">
      <c r="A292" s="9" t="s">
        <v>500</v>
      </c>
      <c r="B292" s="9" t="s">
        <v>501</v>
      </c>
      <c r="C292" s="25">
        <v>11</v>
      </c>
      <c r="D292" t="s">
        <v>502</v>
      </c>
      <c r="E292" s="9" t="s">
        <v>397</v>
      </c>
      <c r="F292" s="9" t="s">
        <v>123</v>
      </c>
      <c r="G292" s="9" t="s">
        <v>40</v>
      </c>
      <c r="H292" s="9" t="s">
        <v>467</v>
      </c>
      <c r="I292" s="9" t="s">
        <v>42</v>
      </c>
      <c r="J292" s="9" t="s">
        <v>42</v>
      </c>
      <c r="K292" s="9" t="s">
        <v>117</v>
      </c>
      <c r="L292" s="9" t="s">
        <v>505</v>
      </c>
      <c r="M292" s="10" t="s">
        <v>42</v>
      </c>
      <c r="N292" s="40" t="s">
        <v>506</v>
      </c>
      <c r="O292" s="9" t="s">
        <v>86</v>
      </c>
      <c r="P292" s="40" t="s">
        <v>515</v>
      </c>
      <c r="Q292" s="9" t="s">
        <v>42</v>
      </c>
      <c r="R292" s="9" t="s">
        <v>42</v>
      </c>
      <c r="S292" s="9" t="s">
        <v>516</v>
      </c>
      <c r="T292" s="9" t="s">
        <v>42</v>
      </c>
      <c r="U292" s="9" t="s">
        <v>42</v>
      </c>
      <c r="V292" s="9" t="s">
        <v>42</v>
      </c>
      <c r="W292" s="11" t="s">
        <v>64</v>
      </c>
      <c r="X292" s="9" t="s">
        <v>42</v>
      </c>
      <c r="Y292" s="11">
        <v>0</v>
      </c>
      <c r="Z292" s="9">
        <v>0</v>
      </c>
      <c r="AA292" s="9">
        <v>2</v>
      </c>
      <c r="AB292" s="9">
        <v>0</v>
      </c>
      <c r="AC292" s="12">
        <v>1999</v>
      </c>
      <c r="AD292" s="10">
        <v>2010</v>
      </c>
      <c r="AE292" s="13">
        <f t="shared" si="6"/>
        <v>11</v>
      </c>
      <c r="AF292" s="9">
        <v>10</v>
      </c>
      <c r="AG292" s="9" t="s">
        <v>64</v>
      </c>
      <c r="AH292" s="10" t="s">
        <v>64</v>
      </c>
    </row>
    <row r="293" spans="1:34" ht="15" customHeight="1">
      <c r="A293" t="s">
        <v>517</v>
      </c>
      <c r="B293" t="s">
        <v>518</v>
      </c>
      <c r="C293" s="1">
        <v>1</v>
      </c>
      <c r="D293" t="s">
        <v>502</v>
      </c>
      <c r="E293" t="s">
        <v>426</v>
      </c>
      <c r="F293" t="s">
        <v>39</v>
      </c>
      <c r="G293" t="s">
        <v>184</v>
      </c>
      <c r="H293" t="s">
        <v>503</v>
      </c>
      <c r="I293" s="1" t="s">
        <v>42</v>
      </c>
      <c r="J293" s="1" t="s">
        <v>42</v>
      </c>
      <c r="K293" s="1" t="s">
        <v>42</v>
      </c>
      <c r="L293" s="1" t="s">
        <v>42</v>
      </c>
      <c r="M293" s="1" t="s">
        <v>42</v>
      </c>
      <c r="N293" s="39" t="s">
        <v>430</v>
      </c>
      <c r="O293" t="s">
        <v>187</v>
      </c>
      <c r="P293" s="39" t="s">
        <v>436</v>
      </c>
      <c r="Q293" t="s">
        <v>42</v>
      </c>
      <c r="R293" t="s">
        <v>42</v>
      </c>
      <c r="S293" t="s">
        <v>42</v>
      </c>
      <c r="T293" t="s">
        <v>42</v>
      </c>
      <c r="U293" t="s">
        <v>519</v>
      </c>
      <c r="V293" t="s">
        <v>42</v>
      </c>
      <c r="W293" s="8" t="s">
        <v>64</v>
      </c>
      <c r="X293" t="s">
        <v>42</v>
      </c>
      <c r="Y293" s="8">
        <v>0</v>
      </c>
      <c r="Z293">
        <v>0</v>
      </c>
      <c r="AA293">
        <v>2</v>
      </c>
      <c r="AB293">
        <v>0</v>
      </c>
      <c r="AC293" s="5">
        <v>2008</v>
      </c>
      <c r="AD293" s="1">
        <v>2009</v>
      </c>
      <c r="AE293" s="6">
        <f t="shared" si="6"/>
        <v>1</v>
      </c>
      <c r="AF293">
        <v>1</v>
      </c>
      <c r="AG293" t="s">
        <v>64</v>
      </c>
      <c r="AH293" s="1" t="s">
        <v>64</v>
      </c>
    </row>
    <row r="294" spans="1:34" ht="15" customHeight="1">
      <c r="A294" t="s">
        <v>517</v>
      </c>
      <c r="B294" t="s">
        <v>518</v>
      </c>
      <c r="C294" s="1">
        <v>2</v>
      </c>
      <c r="D294" t="s">
        <v>502</v>
      </c>
      <c r="E294" t="s">
        <v>426</v>
      </c>
      <c r="F294" t="s">
        <v>39</v>
      </c>
      <c r="G294" t="s">
        <v>184</v>
      </c>
      <c r="H294" t="s">
        <v>503</v>
      </c>
      <c r="I294" s="1" t="s">
        <v>42</v>
      </c>
      <c r="J294" s="1" t="s">
        <v>42</v>
      </c>
      <c r="K294" s="1" t="s">
        <v>42</v>
      </c>
      <c r="L294" s="1" t="s">
        <v>42</v>
      </c>
      <c r="M294" s="1" t="s">
        <v>42</v>
      </c>
      <c r="N294" s="39" t="s">
        <v>430</v>
      </c>
      <c r="O294" t="s">
        <v>187</v>
      </c>
      <c r="P294" s="39" t="s">
        <v>431</v>
      </c>
      <c r="Q294" t="s">
        <v>42</v>
      </c>
      <c r="R294" t="s">
        <v>42</v>
      </c>
      <c r="S294" t="s">
        <v>42</v>
      </c>
      <c r="T294" t="s">
        <v>42</v>
      </c>
      <c r="U294" t="s">
        <v>519</v>
      </c>
      <c r="V294" t="s">
        <v>42</v>
      </c>
      <c r="W294" s="8" t="s">
        <v>64</v>
      </c>
      <c r="X294" t="s">
        <v>42</v>
      </c>
      <c r="Y294" s="8">
        <v>0</v>
      </c>
      <c r="Z294">
        <v>0</v>
      </c>
      <c r="AA294">
        <v>2</v>
      </c>
      <c r="AB294">
        <v>0</v>
      </c>
      <c r="AC294" s="5">
        <v>2008</v>
      </c>
      <c r="AD294" s="1">
        <v>2009</v>
      </c>
      <c r="AE294" s="6">
        <f t="shared" si="6"/>
        <v>1</v>
      </c>
      <c r="AF294">
        <v>1</v>
      </c>
      <c r="AG294" t="s">
        <v>64</v>
      </c>
      <c r="AH294" s="1" t="s">
        <v>64</v>
      </c>
    </row>
    <row r="295" spans="1:34" ht="15" customHeight="1">
      <c r="A295" t="s">
        <v>517</v>
      </c>
      <c r="B295" t="s">
        <v>518</v>
      </c>
      <c r="C295" s="1">
        <v>3</v>
      </c>
      <c r="D295" t="s">
        <v>502</v>
      </c>
      <c r="E295" t="s">
        <v>426</v>
      </c>
      <c r="F295" t="s">
        <v>39</v>
      </c>
      <c r="G295" t="s">
        <v>184</v>
      </c>
      <c r="H295" t="s">
        <v>503</v>
      </c>
      <c r="I295" s="1" t="s">
        <v>42</v>
      </c>
      <c r="J295" s="1" t="s">
        <v>42</v>
      </c>
      <c r="K295" s="1" t="s">
        <v>42</v>
      </c>
      <c r="L295" s="1" t="s">
        <v>42</v>
      </c>
      <c r="M295" s="1" t="s">
        <v>42</v>
      </c>
      <c r="N295" s="39" t="s">
        <v>430</v>
      </c>
      <c r="O295" t="s">
        <v>187</v>
      </c>
      <c r="P295" s="39" t="s">
        <v>434</v>
      </c>
      <c r="Q295" t="s">
        <v>42</v>
      </c>
      <c r="R295" t="s">
        <v>42</v>
      </c>
      <c r="S295" t="s">
        <v>42</v>
      </c>
      <c r="T295" t="s">
        <v>42</v>
      </c>
      <c r="U295" t="s">
        <v>519</v>
      </c>
      <c r="V295" t="s">
        <v>42</v>
      </c>
      <c r="W295" s="8" t="s">
        <v>64</v>
      </c>
      <c r="X295" t="s">
        <v>42</v>
      </c>
      <c r="Y295" s="8">
        <v>0</v>
      </c>
      <c r="Z295">
        <v>0</v>
      </c>
      <c r="AA295">
        <v>2</v>
      </c>
      <c r="AB295">
        <v>0</v>
      </c>
      <c r="AC295" s="5">
        <v>2008</v>
      </c>
      <c r="AD295" s="1">
        <v>2009</v>
      </c>
      <c r="AE295" s="6">
        <f t="shared" si="6"/>
        <v>1</v>
      </c>
      <c r="AF295">
        <v>1</v>
      </c>
      <c r="AG295" t="s">
        <v>64</v>
      </c>
      <c r="AH295" s="1" t="s">
        <v>64</v>
      </c>
    </row>
    <row r="296" spans="1:34" ht="15" customHeight="1">
      <c r="A296" t="s">
        <v>517</v>
      </c>
      <c r="B296" t="s">
        <v>518</v>
      </c>
      <c r="C296" s="1">
        <v>4</v>
      </c>
      <c r="D296" t="s">
        <v>502</v>
      </c>
      <c r="E296" t="s">
        <v>426</v>
      </c>
      <c r="F296" t="s">
        <v>39</v>
      </c>
      <c r="G296" t="s">
        <v>184</v>
      </c>
      <c r="H296" t="s">
        <v>503</v>
      </c>
      <c r="I296" s="1" t="s">
        <v>42</v>
      </c>
      <c r="J296" s="1" t="s">
        <v>42</v>
      </c>
      <c r="K296" s="1" t="s">
        <v>42</v>
      </c>
      <c r="L296" s="1" t="s">
        <v>42</v>
      </c>
      <c r="M296" s="1" t="s">
        <v>42</v>
      </c>
      <c r="N296" s="39" t="s">
        <v>430</v>
      </c>
      <c r="O296" t="s">
        <v>187</v>
      </c>
      <c r="P296" s="39" t="s">
        <v>493</v>
      </c>
      <c r="Q296" t="s">
        <v>42</v>
      </c>
      <c r="R296" t="s">
        <v>42</v>
      </c>
      <c r="S296" t="s">
        <v>42</v>
      </c>
      <c r="T296" t="s">
        <v>42</v>
      </c>
      <c r="U296" t="s">
        <v>519</v>
      </c>
      <c r="V296" t="s">
        <v>42</v>
      </c>
      <c r="W296" s="8" t="s">
        <v>64</v>
      </c>
      <c r="X296" t="s">
        <v>42</v>
      </c>
      <c r="Y296" s="8">
        <v>0</v>
      </c>
      <c r="Z296">
        <v>0</v>
      </c>
      <c r="AA296">
        <v>2</v>
      </c>
      <c r="AB296">
        <v>0</v>
      </c>
      <c r="AC296" s="5">
        <v>2008</v>
      </c>
      <c r="AD296" s="1">
        <v>2009</v>
      </c>
      <c r="AE296" s="6">
        <f t="shared" si="6"/>
        <v>1</v>
      </c>
      <c r="AF296">
        <v>1</v>
      </c>
      <c r="AG296" t="s">
        <v>64</v>
      </c>
      <c r="AH296" s="1" t="s">
        <v>64</v>
      </c>
    </row>
    <row r="297" spans="1:34" ht="15" customHeight="1">
      <c r="A297" t="s">
        <v>517</v>
      </c>
      <c r="B297" t="s">
        <v>518</v>
      </c>
      <c r="C297" s="1">
        <v>5</v>
      </c>
      <c r="D297" t="s">
        <v>502</v>
      </c>
      <c r="E297" t="s">
        <v>426</v>
      </c>
      <c r="F297" t="s">
        <v>39</v>
      </c>
      <c r="G297" t="s">
        <v>184</v>
      </c>
      <c r="H297" t="s">
        <v>503</v>
      </c>
      <c r="I297" s="1" t="s">
        <v>42</v>
      </c>
      <c r="J297" s="1" t="s">
        <v>42</v>
      </c>
      <c r="K297" s="1" t="s">
        <v>42</v>
      </c>
      <c r="L297" s="1" t="s">
        <v>42</v>
      </c>
      <c r="M297" s="1" t="s">
        <v>42</v>
      </c>
      <c r="N297" s="39" t="s">
        <v>430</v>
      </c>
      <c r="O297" t="s">
        <v>187</v>
      </c>
      <c r="P297" s="39" t="s">
        <v>459</v>
      </c>
      <c r="Q297" t="s">
        <v>42</v>
      </c>
      <c r="R297" t="s">
        <v>42</v>
      </c>
      <c r="S297" t="s">
        <v>42</v>
      </c>
      <c r="T297" t="s">
        <v>42</v>
      </c>
      <c r="U297" t="s">
        <v>519</v>
      </c>
      <c r="V297" t="s">
        <v>42</v>
      </c>
      <c r="W297" s="8" t="s">
        <v>64</v>
      </c>
      <c r="X297" t="s">
        <v>42</v>
      </c>
      <c r="Y297" s="8">
        <v>0</v>
      </c>
      <c r="Z297">
        <v>0</v>
      </c>
      <c r="AA297">
        <v>2</v>
      </c>
      <c r="AB297">
        <v>0</v>
      </c>
      <c r="AC297" s="5">
        <v>2008</v>
      </c>
      <c r="AD297" s="1">
        <v>2009</v>
      </c>
      <c r="AE297" s="6">
        <f t="shared" si="6"/>
        <v>1</v>
      </c>
      <c r="AF297">
        <v>1</v>
      </c>
      <c r="AG297" t="s">
        <v>64</v>
      </c>
      <c r="AH297" s="1" t="s">
        <v>64</v>
      </c>
    </row>
    <row r="298" spans="1:34" ht="15" customHeight="1">
      <c r="A298" t="s">
        <v>517</v>
      </c>
      <c r="B298" t="s">
        <v>518</v>
      </c>
      <c r="C298" s="1">
        <v>6</v>
      </c>
      <c r="D298" t="s">
        <v>502</v>
      </c>
      <c r="E298" t="s">
        <v>397</v>
      </c>
      <c r="F298" t="s">
        <v>123</v>
      </c>
      <c r="G298" t="s">
        <v>40</v>
      </c>
      <c r="H298" t="s">
        <v>503</v>
      </c>
      <c r="I298" t="s">
        <v>42</v>
      </c>
      <c r="J298" t="s">
        <v>42</v>
      </c>
      <c r="K298" t="s">
        <v>520</v>
      </c>
      <c r="L298" t="s">
        <v>521</v>
      </c>
      <c r="M298" s="1" t="s">
        <v>42</v>
      </c>
      <c r="N298" s="39" t="s">
        <v>402</v>
      </c>
      <c r="O298" t="s">
        <v>86</v>
      </c>
      <c r="P298" s="39" t="s">
        <v>402</v>
      </c>
      <c r="Q298" t="s">
        <v>522</v>
      </c>
      <c r="R298" t="s">
        <v>42</v>
      </c>
      <c r="S298" t="s">
        <v>523</v>
      </c>
      <c r="T298" t="s">
        <v>42</v>
      </c>
      <c r="U298" t="s">
        <v>42</v>
      </c>
      <c r="V298" t="s">
        <v>42</v>
      </c>
      <c r="W298" s="8" t="s">
        <v>64</v>
      </c>
      <c r="X298" t="s">
        <v>42</v>
      </c>
      <c r="Y298" s="8">
        <v>0</v>
      </c>
      <c r="Z298">
        <v>0</v>
      </c>
      <c r="AA298">
        <v>2</v>
      </c>
      <c r="AB298">
        <v>0</v>
      </c>
      <c r="AC298" s="5">
        <v>1990</v>
      </c>
      <c r="AD298" s="1">
        <v>2009</v>
      </c>
      <c r="AE298" s="6">
        <f t="shared" si="6"/>
        <v>19</v>
      </c>
      <c r="AF298">
        <v>19</v>
      </c>
      <c r="AG298" t="s">
        <v>64</v>
      </c>
      <c r="AH298" s="1" t="s">
        <v>64</v>
      </c>
    </row>
    <row r="299" spans="1:34" ht="15" customHeight="1">
      <c r="A299" t="s">
        <v>517</v>
      </c>
      <c r="B299" t="s">
        <v>518</v>
      </c>
      <c r="C299" s="1">
        <v>7</v>
      </c>
      <c r="D299" t="s">
        <v>502</v>
      </c>
      <c r="E299" t="s">
        <v>397</v>
      </c>
      <c r="F299" t="s">
        <v>123</v>
      </c>
      <c r="G299" t="s">
        <v>40</v>
      </c>
      <c r="H299" t="s">
        <v>503</v>
      </c>
      <c r="I299" t="s">
        <v>42</v>
      </c>
      <c r="J299" t="s">
        <v>42</v>
      </c>
      <c r="K299" t="s">
        <v>520</v>
      </c>
      <c r="L299" t="s">
        <v>521</v>
      </c>
      <c r="M299" s="1" t="s">
        <v>42</v>
      </c>
      <c r="N299" s="39" t="s">
        <v>402</v>
      </c>
      <c r="O299" t="s">
        <v>86</v>
      </c>
      <c r="P299" s="39" t="s">
        <v>402</v>
      </c>
      <c r="Q299" t="s">
        <v>524</v>
      </c>
      <c r="R299" t="s">
        <v>42</v>
      </c>
      <c r="S299" t="s">
        <v>523</v>
      </c>
      <c r="T299" t="s">
        <v>42</v>
      </c>
      <c r="U299" t="s">
        <v>42</v>
      </c>
      <c r="V299" t="s">
        <v>42</v>
      </c>
      <c r="W299" s="8" t="s">
        <v>64</v>
      </c>
      <c r="X299" t="s">
        <v>42</v>
      </c>
      <c r="Y299" s="8">
        <v>0</v>
      </c>
      <c r="Z299">
        <v>0</v>
      </c>
      <c r="AA299">
        <v>2</v>
      </c>
      <c r="AB299">
        <v>0</v>
      </c>
      <c r="AC299" s="5">
        <v>1990</v>
      </c>
      <c r="AD299" s="1">
        <v>2009</v>
      </c>
      <c r="AE299" s="6">
        <f t="shared" si="6"/>
        <v>19</v>
      </c>
      <c r="AF299">
        <v>19</v>
      </c>
      <c r="AG299" t="s">
        <v>64</v>
      </c>
      <c r="AH299" s="1" t="s">
        <v>64</v>
      </c>
    </row>
    <row r="300" spans="1:34" ht="15" customHeight="1">
      <c r="A300" t="s">
        <v>517</v>
      </c>
      <c r="B300" t="s">
        <v>518</v>
      </c>
      <c r="C300" s="1">
        <v>8</v>
      </c>
      <c r="D300" t="s">
        <v>502</v>
      </c>
      <c r="E300" t="s">
        <v>397</v>
      </c>
      <c r="F300" t="s">
        <v>123</v>
      </c>
      <c r="G300" t="s">
        <v>40</v>
      </c>
      <c r="H300" t="s">
        <v>503</v>
      </c>
      <c r="I300" t="s">
        <v>42</v>
      </c>
      <c r="J300" t="s">
        <v>42</v>
      </c>
      <c r="K300" t="s">
        <v>520</v>
      </c>
      <c r="L300" t="s">
        <v>521</v>
      </c>
      <c r="M300" s="1" t="s">
        <v>42</v>
      </c>
      <c r="N300" s="39" t="s">
        <v>402</v>
      </c>
      <c r="O300" t="s">
        <v>86</v>
      </c>
      <c r="P300" s="39" t="s">
        <v>402</v>
      </c>
      <c r="Q300" t="s">
        <v>525</v>
      </c>
      <c r="R300" t="s">
        <v>42</v>
      </c>
      <c r="S300" t="s">
        <v>523</v>
      </c>
      <c r="T300" t="s">
        <v>42</v>
      </c>
      <c r="U300" t="s">
        <v>42</v>
      </c>
      <c r="V300" t="s">
        <v>42</v>
      </c>
      <c r="W300" s="8" t="s">
        <v>64</v>
      </c>
      <c r="X300" t="s">
        <v>42</v>
      </c>
      <c r="Y300" s="8">
        <v>0</v>
      </c>
      <c r="Z300">
        <v>0</v>
      </c>
      <c r="AA300">
        <v>2</v>
      </c>
      <c r="AB300">
        <v>0</v>
      </c>
      <c r="AC300" s="5">
        <v>1990</v>
      </c>
      <c r="AD300" s="1">
        <v>2009</v>
      </c>
      <c r="AE300" s="6">
        <f t="shared" si="6"/>
        <v>19</v>
      </c>
      <c r="AF300">
        <v>19</v>
      </c>
      <c r="AG300" t="s">
        <v>64</v>
      </c>
      <c r="AH300" s="1" t="s">
        <v>64</v>
      </c>
    </row>
    <row r="301" spans="1:34" ht="15" customHeight="1">
      <c r="A301" t="s">
        <v>517</v>
      </c>
      <c r="B301" t="s">
        <v>518</v>
      </c>
      <c r="C301" s="1">
        <v>9</v>
      </c>
      <c r="D301" t="s">
        <v>502</v>
      </c>
      <c r="E301" t="s">
        <v>397</v>
      </c>
      <c r="F301" t="s">
        <v>123</v>
      </c>
      <c r="G301" t="s">
        <v>40</v>
      </c>
      <c r="H301" t="s">
        <v>503</v>
      </c>
      <c r="I301" t="s">
        <v>42</v>
      </c>
      <c r="J301" t="s">
        <v>42</v>
      </c>
      <c r="K301" t="s">
        <v>520</v>
      </c>
      <c r="L301" t="s">
        <v>521</v>
      </c>
      <c r="M301" s="1" t="s">
        <v>42</v>
      </c>
      <c r="N301" s="39" t="s">
        <v>402</v>
      </c>
      <c r="O301" t="s">
        <v>86</v>
      </c>
      <c r="P301" s="39" t="s">
        <v>402</v>
      </c>
      <c r="Q301" t="s">
        <v>526</v>
      </c>
      <c r="R301" t="s">
        <v>42</v>
      </c>
      <c r="S301" t="s">
        <v>523</v>
      </c>
      <c r="T301" t="s">
        <v>42</v>
      </c>
      <c r="U301" t="s">
        <v>42</v>
      </c>
      <c r="V301" t="s">
        <v>42</v>
      </c>
      <c r="W301" s="8" t="s">
        <v>64</v>
      </c>
      <c r="X301" t="s">
        <v>42</v>
      </c>
      <c r="Y301" s="8">
        <v>0</v>
      </c>
      <c r="Z301">
        <v>0</v>
      </c>
      <c r="AA301">
        <v>2</v>
      </c>
      <c r="AB301">
        <v>0</v>
      </c>
      <c r="AC301" s="5">
        <v>1990</v>
      </c>
      <c r="AD301" s="1">
        <v>2009</v>
      </c>
      <c r="AE301" s="6">
        <f t="shared" si="6"/>
        <v>19</v>
      </c>
      <c r="AF301">
        <v>19</v>
      </c>
      <c r="AG301" t="s">
        <v>64</v>
      </c>
      <c r="AH301" s="1" t="s">
        <v>64</v>
      </c>
    </row>
    <row r="302" spans="1:34" ht="15" customHeight="1">
      <c r="A302" t="s">
        <v>517</v>
      </c>
      <c r="B302" t="s">
        <v>518</v>
      </c>
      <c r="C302" s="1">
        <v>10</v>
      </c>
      <c r="D302" t="s">
        <v>502</v>
      </c>
      <c r="E302" t="s">
        <v>397</v>
      </c>
      <c r="F302" t="s">
        <v>123</v>
      </c>
      <c r="G302" t="s">
        <v>40</v>
      </c>
      <c r="H302" t="s">
        <v>503</v>
      </c>
      <c r="I302" t="s">
        <v>42</v>
      </c>
      <c r="J302" t="s">
        <v>42</v>
      </c>
      <c r="K302" t="s">
        <v>520</v>
      </c>
      <c r="L302" t="s">
        <v>521</v>
      </c>
      <c r="M302" s="1" t="s">
        <v>42</v>
      </c>
      <c r="N302" s="39" t="s">
        <v>402</v>
      </c>
      <c r="O302" t="s">
        <v>86</v>
      </c>
      <c r="P302" s="39" t="s">
        <v>402</v>
      </c>
      <c r="Q302" t="s">
        <v>94</v>
      </c>
      <c r="R302" t="s">
        <v>113</v>
      </c>
      <c r="S302" t="s">
        <v>523</v>
      </c>
      <c r="T302" t="s">
        <v>42</v>
      </c>
      <c r="U302" t="s">
        <v>42</v>
      </c>
      <c r="V302" t="s">
        <v>42</v>
      </c>
      <c r="W302" s="8" t="s">
        <v>64</v>
      </c>
      <c r="X302" t="s">
        <v>42</v>
      </c>
      <c r="Y302" s="8">
        <v>0</v>
      </c>
      <c r="Z302">
        <v>0</v>
      </c>
      <c r="AA302">
        <v>2</v>
      </c>
      <c r="AB302">
        <v>0</v>
      </c>
      <c r="AC302" s="5">
        <v>1990</v>
      </c>
      <c r="AD302" s="1">
        <v>2009</v>
      </c>
      <c r="AE302" s="6">
        <f t="shared" si="6"/>
        <v>19</v>
      </c>
      <c r="AF302">
        <v>19</v>
      </c>
      <c r="AG302" t="s">
        <v>64</v>
      </c>
      <c r="AH302" s="1" t="s">
        <v>64</v>
      </c>
    </row>
    <row r="303" spans="1:34" ht="15" customHeight="1">
      <c r="A303" t="s">
        <v>517</v>
      </c>
      <c r="B303" t="s">
        <v>518</v>
      </c>
      <c r="C303" s="1">
        <v>11</v>
      </c>
      <c r="D303" t="s">
        <v>502</v>
      </c>
      <c r="E303" t="s">
        <v>397</v>
      </c>
      <c r="F303" t="s">
        <v>123</v>
      </c>
      <c r="G303" t="s">
        <v>40</v>
      </c>
      <c r="H303" t="s">
        <v>503</v>
      </c>
      <c r="I303" t="s">
        <v>42</v>
      </c>
      <c r="J303" t="s">
        <v>42</v>
      </c>
      <c r="K303" t="s">
        <v>520</v>
      </c>
      <c r="L303" t="s">
        <v>521</v>
      </c>
      <c r="M303" s="1" t="s">
        <v>42</v>
      </c>
      <c r="N303" s="39" t="s">
        <v>402</v>
      </c>
      <c r="O303" t="s">
        <v>86</v>
      </c>
      <c r="P303" s="39" t="s">
        <v>402</v>
      </c>
      <c r="Q303" t="s">
        <v>108</v>
      </c>
      <c r="R303" t="s">
        <v>109</v>
      </c>
      <c r="S303" t="s">
        <v>523</v>
      </c>
      <c r="T303" t="s">
        <v>42</v>
      </c>
      <c r="U303" t="s">
        <v>42</v>
      </c>
      <c r="V303" t="s">
        <v>42</v>
      </c>
      <c r="W303" s="8" t="s">
        <v>64</v>
      </c>
      <c r="X303" t="s">
        <v>42</v>
      </c>
      <c r="Y303" s="8">
        <v>0</v>
      </c>
      <c r="Z303">
        <v>0</v>
      </c>
      <c r="AA303">
        <v>2</v>
      </c>
      <c r="AB303">
        <v>0</v>
      </c>
      <c r="AC303" s="5">
        <v>1990</v>
      </c>
      <c r="AD303" s="1">
        <v>2009</v>
      </c>
      <c r="AE303" s="6">
        <f t="shared" si="6"/>
        <v>19</v>
      </c>
      <c r="AF303">
        <v>19</v>
      </c>
      <c r="AG303" t="s">
        <v>64</v>
      </c>
      <c r="AH303" s="1" t="s">
        <v>64</v>
      </c>
    </row>
    <row r="304" spans="1:34" ht="15" customHeight="1">
      <c r="A304" t="s">
        <v>517</v>
      </c>
      <c r="B304" t="s">
        <v>518</v>
      </c>
      <c r="C304" s="1">
        <v>12</v>
      </c>
      <c r="D304" t="s">
        <v>502</v>
      </c>
      <c r="E304" t="s">
        <v>397</v>
      </c>
      <c r="F304" t="s">
        <v>123</v>
      </c>
      <c r="G304" t="s">
        <v>40</v>
      </c>
      <c r="H304" t="s">
        <v>503</v>
      </c>
      <c r="I304" t="s">
        <v>42</v>
      </c>
      <c r="J304" t="s">
        <v>42</v>
      </c>
      <c r="K304" t="s">
        <v>520</v>
      </c>
      <c r="L304" t="s">
        <v>521</v>
      </c>
      <c r="M304" s="1" t="s">
        <v>42</v>
      </c>
      <c r="N304" s="39" t="s">
        <v>402</v>
      </c>
      <c r="O304" t="s">
        <v>86</v>
      </c>
      <c r="P304" s="39" t="s">
        <v>402</v>
      </c>
      <c r="Q304" t="s">
        <v>416</v>
      </c>
      <c r="R304" t="s">
        <v>42</v>
      </c>
      <c r="S304" t="s">
        <v>523</v>
      </c>
      <c r="T304" t="s">
        <v>42</v>
      </c>
      <c r="U304" t="s">
        <v>42</v>
      </c>
      <c r="V304" t="s">
        <v>42</v>
      </c>
      <c r="W304" s="8" t="s">
        <v>64</v>
      </c>
      <c r="X304" t="s">
        <v>42</v>
      </c>
      <c r="Y304" s="8">
        <v>0</v>
      </c>
      <c r="Z304">
        <v>0</v>
      </c>
      <c r="AA304">
        <v>2</v>
      </c>
      <c r="AB304">
        <v>0</v>
      </c>
      <c r="AC304" s="5">
        <v>1990</v>
      </c>
      <c r="AD304" s="1">
        <v>2009</v>
      </c>
      <c r="AE304" s="6">
        <f t="shared" si="6"/>
        <v>19</v>
      </c>
      <c r="AF304">
        <v>19</v>
      </c>
      <c r="AG304" t="s">
        <v>64</v>
      </c>
      <c r="AH304" s="1" t="s">
        <v>64</v>
      </c>
    </row>
    <row r="305" spans="1:34" ht="15" customHeight="1">
      <c r="A305" t="s">
        <v>517</v>
      </c>
      <c r="B305" t="s">
        <v>518</v>
      </c>
      <c r="C305" s="1">
        <v>13</v>
      </c>
      <c r="D305" t="s">
        <v>502</v>
      </c>
      <c r="E305" t="s">
        <v>397</v>
      </c>
      <c r="F305" t="s">
        <v>123</v>
      </c>
      <c r="G305" t="s">
        <v>40</v>
      </c>
      <c r="H305" t="s">
        <v>503</v>
      </c>
      <c r="I305" t="s">
        <v>42</v>
      </c>
      <c r="J305" t="s">
        <v>42</v>
      </c>
      <c r="K305" t="s">
        <v>520</v>
      </c>
      <c r="L305" t="s">
        <v>521</v>
      </c>
      <c r="M305" s="1" t="s">
        <v>42</v>
      </c>
      <c r="N305" s="39" t="s">
        <v>402</v>
      </c>
      <c r="O305" t="s">
        <v>86</v>
      </c>
      <c r="P305" s="39" t="s">
        <v>402</v>
      </c>
      <c r="Q305" t="s">
        <v>527</v>
      </c>
      <c r="R305" t="s">
        <v>42</v>
      </c>
      <c r="S305" t="s">
        <v>523</v>
      </c>
      <c r="T305" t="s">
        <v>42</v>
      </c>
      <c r="U305" t="s">
        <v>42</v>
      </c>
      <c r="V305" t="s">
        <v>42</v>
      </c>
      <c r="W305" s="8" t="s">
        <v>64</v>
      </c>
      <c r="X305" t="s">
        <v>42</v>
      </c>
      <c r="Y305" s="8">
        <v>0</v>
      </c>
      <c r="Z305">
        <v>0</v>
      </c>
      <c r="AA305">
        <v>2</v>
      </c>
      <c r="AB305">
        <v>0</v>
      </c>
      <c r="AC305" s="5">
        <v>2007</v>
      </c>
      <c r="AD305" s="1">
        <v>2009</v>
      </c>
      <c r="AE305" s="6">
        <f t="shared" si="6"/>
        <v>2</v>
      </c>
      <c r="AF305">
        <v>3</v>
      </c>
      <c r="AG305" t="s">
        <v>64</v>
      </c>
      <c r="AH305" s="1" t="s">
        <v>64</v>
      </c>
    </row>
    <row r="306" spans="1:34" ht="15" customHeight="1">
      <c r="A306" t="s">
        <v>517</v>
      </c>
      <c r="B306" t="s">
        <v>518</v>
      </c>
      <c r="C306" s="1">
        <v>14</v>
      </c>
      <c r="D306" t="s">
        <v>502</v>
      </c>
      <c r="E306" t="s">
        <v>397</v>
      </c>
      <c r="F306" t="s">
        <v>123</v>
      </c>
      <c r="G306" t="s">
        <v>40</v>
      </c>
      <c r="H306" t="s">
        <v>503</v>
      </c>
      <c r="I306" t="s">
        <v>42</v>
      </c>
      <c r="J306" t="s">
        <v>42</v>
      </c>
      <c r="K306" t="s">
        <v>520</v>
      </c>
      <c r="L306" t="s">
        <v>521</v>
      </c>
      <c r="M306" s="1" t="s">
        <v>42</v>
      </c>
      <c r="N306" s="39" t="s">
        <v>402</v>
      </c>
      <c r="O306" t="s">
        <v>86</v>
      </c>
      <c r="P306" s="39" t="s">
        <v>402</v>
      </c>
      <c r="Q306" t="s">
        <v>528</v>
      </c>
      <c r="R306" t="s">
        <v>42</v>
      </c>
      <c r="S306" t="s">
        <v>523</v>
      </c>
      <c r="T306" t="s">
        <v>42</v>
      </c>
      <c r="U306" t="s">
        <v>42</v>
      </c>
      <c r="V306" t="s">
        <v>42</v>
      </c>
      <c r="W306" s="8" t="s">
        <v>64</v>
      </c>
      <c r="X306" t="s">
        <v>42</v>
      </c>
      <c r="Y306" s="8">
        <v>0</v>
      </c>
      <c r="Z306">
        <v>0</v>
      </c>
      <c r="AA306">
        <v>2</v>
      </c>
      <c r="AB306">
        <v>0</v>
      </c>
      <c r="AC306" s="5">
        <v>2007</v>
      </c>
      <c r="AD306" s="1">
        <v>2009</v>
      </c>
      <c r="AE306" s="6">
        <f t="shared" si="6"/>
        <v>2</v>
      </c>
      <c r="AF306">
        <v>12</v>
      </c>
      <c r="AG306" t="s">
        <v>64</v>
      </c>
      <c r="AH306" s="1" t="s">
        <v>64</v>
      </c>
    </row>
    <row r="307" spans="1:34" ht="15" customHeight="1">
      <c r="A307" t="s">
        <v>517</v>
      </c>
      <c r="B307" t="s">
        <v>518</v>
      </c>
      <c r="C307" s="1">
        <v>15</v>
      </c>
      <c r="D307" t="s">
        <v>502</v>
      </c>
      <c r="E307" t="s">
        <v>397</v>
      </c>
      <c r="F307" t="s">
        <v>123</v>
      </c>
      <c r="G307" t="s">
        <v>40</v>
      </c>
      <c r="H307" t="s">
        <v>503</v>
      </c>
      <c r="I307" t="s">
        <v>42</v>
      </c>
      <c r="J307" t="s">
        <v>42</v>
      </c>
      <c r="K307" t="s">
        <v>520</v>
      </c>
      <c r="L307" t="s">
        <v>521</v>
      </c>
      <c r="M307" s="1" t="s">
        <v>42</v>
      </c>
      <c r="N307" s="39" t="s">
        <v>506</v>
      </c>
      <c r="O307" t="s">
        <v>86</v>
      </c>
      <c r="P307" s="39" t="s">
        <v>507</v>
      </c>
      <c r="Q307" t="s">
        <v>108</v>
      </c>
      <c r="R307" t="s">
        <v>109</v>
      </c>
      <c r="S307" t="s">
        <v>181</v>
      </c>
      <c r="T307" t="s">
        <v>42</v>
      </c>
      <c r="U307" t="s">
        <v>42</v>
      </c>
      <c r="V307" t="s">
        <v>42</v>
      </c>
      <c r="W307" s="8" t="s">
        <v>64</v>
      </c>
      <c r="X307" t="s">
        <v>42</v>
      </c>
      <c r="Y307" s="8">
        <v>0</v>
      </c>
      <c r="Z307">
        <v>0</v>
      </c>
      <c r="AA307">
        <v>2</v>
      </c>
      <c r="AB307">
        <v>0</v>
      </c>
      <c r="AC307" s="5">
        <v>1999</v>
      </c>
      <c r="AD307" s="1">
        <v>2008</v>
      </c>
      <c r="AE307" s="6">
        <f t="shared" si="6"/>
        <v>9</v>
      </c>
      <c r="AF307">
        <v>10</v>
      </c>
      <c r="AG307" t="s">
        <v>64</v>
      </c>
      <c r="AH307" s="1" t="s">
        <v>64</v>
      </c>
    </row>
    <row r="308" spans="1:34" ht="15" customHeight="1">
      <c r="A308" t="s">
        <v>517</v>
      </c>
      <c r="B308" t="s">
        <v>518</v>
      </c>
      <c r="C308" s="1">
        <v>16</v>
      </c>
      <c r="D308" t="s">
        <v>502</v>
      </c>
      <c r="E308" t="s">
        <v>397</v>
      </c>
      <c r="F308" t="s">
        <v>123</v>
      </c>
      <c r="G308" t="s">
        <v>40</v>
      </c>
      <c r="H308" t="s">
        <v>503</v>
      </c>
      <c r="I308" t="s">
        <v>42</v>
      </c>
      <c r="J308" t="s">
        <v>42</v>
      </c>
      <c r="K308" t="s">
        <v>520</v>
      </c>
      <c r="L308" t="s">
        <v>521</v>
      </c>
      <c r="M308" s="1" t="s">
        <v>42</v>
      </c>
      <c r="N308" s="39" t="s">
        <v>506</v>
      </c>
      <c r="O308" t="s">
        <v>86</v>
      </c>
      <c r="P308" s="39" t="s">
        <v>512</v>
      </c>
      <c r="Q308" t="s">
        <v>108</v>
      </c>
      <c r="R308" t="s">
        <v>109</v>
      </c>
      <c r="S308" t="s">
        <v>529</v>
      </c>
      <c r="T308" t="s">
        <v>42</v>
      </c>
      <c r="U308" t="s">
        <v>42</v>
      </c>
      <c r="V308" t="s">
        <v>42</v>
      </c>
      <c r="W308" s="8" t="s">
        <v>64</v>
      </c>
      <c r="X308" t="s">
        <v>42</v>
      </c>
      <c r="Y308" s="8">
        <v>0</v>
      </c>
      <c r="Z308">
        <v>0</v>
      </c>
      <c r="AA308">
        <v>2</v>
      </c>
      <c r="AB308">
        <v>0</v>
      </c>
      <c r="AC308" s="5">
        <v>1999</v>
      </c>
      <c r="AD308" s="1">
        <v>2008</v>
      </c>
      <c r="AE308" s="6">
        <f t="shared" si="6"/>
        <v>9</v>
      </c>
      <c r="AF308">
        <v>10</v>
      </c>
      <c r="AG308" t="s">
        <v>64</v>
      </c>
      <c r="AH308" s="1" t="s">
        <v>64</v>
      </c>
    </row>
    <row r="309" spans="1:34" ht="15" customHeight="1">
      <c r="A309" t="s">
        <v>517</v>
      </c>
      <c r="B309" t="s">
        <v>518</v>
      </c>
      <c r="C309" s="1">
        <v>17</v>
      </c>
      <c r="D309" t="s">
        <v>502</v>
      </c>
      <c r="E309" t="s">
        <v>397</v>
      </c>
      <c r="F309" t="s">
        <v>123</v>
      </c>
      <c r="G309" t="s">
        <v>40</v>
      </c>
      <c r="H309" t="s">
        <v>503</v>
      </c>
      <c r="I309" t="s">
        <v>42</v>
      </c>
      <c r="J309" t="s">
        <v>42</v>
      </c>
      <c r="K309" t="s">
        <v>520</v>
      </c>
      <c r="L309" t="s">
        <v>521</v>
      </c>
      <c r="M309" s="1" t="s">
        <v>42</v>
      </c>
      <c r="N309" s="39" t="s">
        <v>506</v>
      </c>
      <c r="O309" t="s">
        <v>86</v>
      </c>
      <c r="P309" s="39" t="s">
        <v>530</v>
      </c>
      <c r="Q309" t="s">
        <v>108</v>
      </c>
      <c r="R309" t="s">
        <v>109</v>
      </c>
      <c r="S309" t="s">
        <v>514</v>
      </c>
      <c r="T309" t="s">
        <v>42</v>
      </c>
      <c r="U309" t="s">
        <v>42</v>
      </c>
      <c r="V309" t="s">
        <v>42</v>
      </c>
      <c r="W309" s="8" t="s">
        <v>64</v>
      </c>
      <c r="X309" t="s">
        <v>42</v>
      </c>
      <c r="Y309" s="8">
        <v>0</v>
      </c>
      <c r="Z309">
        <v>0</v>
      </c>
      <c r="AA309">
        <v>2</v>
      </c>
      <c r="AB309">
        <v>0</v>
      </c>
      <c r="AC309" s="5">
        <v>1999</v>
      </c>
      <c r="AD309" s="1">
        <v>2008</v>
      </c>
      <c r="AE309" s="6">
        <f t="shared" si="6"/>
        <v>9</v>
      </c>
      <c r="AF309">
        <v>10</v>
      </c>
      <c r="AG309" t="s">
        <v>64</v>
      </c>
      <c r="AH309" s="1" t="s">
        <v>64</v>
      </c>
    </row>
    <row r="310" spans="1:34" ht="15" customHeight="1">
      <c r="A310" t="s">
        <v>517</v>
      </c>
      <c r="B310" t="s">
        <v>518</v>
      </c>
      <c r="C310" s="1">
        <v>18</v>
      </c>
      <c r="D310" t="s">
        <v>502</v>
      </c>
      <c r="E310" t="s">
        <v>397</v>
      </c>
      <c r="F310" t="s">
        <v>123</v>
      </c>
      <c r="G310" t="s">
        <v>40</v>
      </c>
      <c r="H310" t="s">
        <v>503</v>
      </c>
      <c r="I310" t="s">
        <v>42</v>
      </c>
      <c r="J310" t="s">
        <v>42</v>
      </c>
      <c r="K310" t="s">
        <v>520</v>
      </c>
      <c r="L310" t="s">
        <v>521</v>
      </c>
      <c r="M310" s="1" t="s">
        <v>42</v>
      </c>
      <c r="N310" s="39" t="s">
        <v>506</v>
      </c>
      <c r="O310" t="s">
        <v>86</v>
      </c>
      <c r="P310" s="39" t="s">
        <v>531</v>
      </c>
      <c r="Q310" t="s">
        <v>94</v>
      </c>
      <c r="R310" t="s">
        <v>113</v>
      </c>
      <c r="S310" t="s">
        <v>523</v>
      </c>
      <c r="T310" t="s">
        <v>42</v>
      </c>
      <c r="U310" t="s">
        <v>42</v>
      </c>
      <c r="V310" t="s">
        <v>42</v>
      </c>
      <c r="W310" s="8" t="s">
        <v>64</v>
      </c>
      <c r="X310" t="s">
        <v>42</v>
      </c>
      <c r="Y310" s="8">
        <v>0</v>
      </c>
      <c r="Z310">
        <v>0</v>
      </c>
      <c r="AA310">
        <v>2</v>
      </c>
      <c r="AB310">
        <v>0</v>
      </c>
      <c r="AC310" s="5">
        <v>1999</v>
      </c>
      <c r="AD310" s="1">
        <v>2008</v>
      </c>
      <c r="AE310" s="6">
        <f t="shared" si="6"/>
        <v>9</v>
      </c>
      <c r="AF310">
        <v>10</v>
      </c>
      <c r="AG310" t="s">
        <v>64</v>
      </c>
      <c r="AH310" s="1" t="s">
        <v>64</v>
      </c>
    </row>
    <row r="311" spans="1:34" ht="15" customHeight="1">
      <c r="A311" t="s">
        <v>517</v>
      </c>
      <c r="B311" t="s">
        <v>518</v>
      </c>
      <c r="C311" s="1">
        <v>19</v>
      </c>
      <c r="D311" t="s">
        <v>502</v>
      </c>
      <c r="E311" t="s">
        <v>397</v>
      </c>
      <c r="F311" t="s">
        <v>123</v>
      </c>
      <c r="G311" t="s">
        <v>40</v>
      </c>
      <c r="H311" t="s">
        <v>503</v>
      </c>
      <c r="I311" t="s">
        <v>42</v>
      </c>
      <c r="J311" t="s">
        <v>42</v>
      </c>
      <c r="K311" t="s">
        <v>520</v>
      </c>
      <c r="L311" t="s">
        <v>521</v>
      </c>
      <c r="M311" s="1" t="s">
        <v>42</v>
      </c>
      <c r="N311" s="39" t="s">
        <v>506</v>
      </c>
      <c r="O311" t="s">
        <v>86</v>
      </c>
      <c r="P311" s="39" t="s">
        <v>512</v>
      </c>
      <c r="Q311" t="s">
        <v>94</v>
      </c>
      <c r="R311" t="s">
        <v>113</v>
      </c>
      <c r="S311" t="s">
        <v>532</v>
      </c>
      <c r="T311" t="s">
        <v>42</v>
      </c>
      <c r="U311" t="s">
        <v>42</v>
      </c>
      <c r="V311" t="s">
        <v>42</v>
      </c>
      <c r="W311" s="8" t="s">
        <v>64</v>
      </c>
      <c r="X311" t="s">
        <v>42</v>
      </c>
      <c r="Y311" s="8">
        <v>0</v>
      </c>
      <c r="Z311">
        <v>0</v>
      </c>
      <c r="AA311">
        <v>2</v>
      </c>
      <c r="AB311">
        <v>0</v>
      </c>
      <c r="AC311" s="5">
        <v>1999</v>
      </c>
      <c r="AD311" s="1">
        <v>2008</v>
      </c>
      <c r="AE311" s="6">
        <f t="shared" si="6"/>
        <v>9</v>
      </c>
      <c r="AF311">
        <v>10</v>
      </c>
      <c r="AG311" t="s">
        <v>64</v>
      </c>
      <c r="AH311" s="1" t="s">
        <v>64</v>
      </c>
    </row>
    <row r="312" spans="1:34" ht="15" customHeight="1">
      <c r="A312" t="s">
        <v>517</v>
      </c>
      <c r="B312" t="s">
        <v>518</v>
      </c>
      <c r="C312" s="1">
        <v>20</v>
      </c>
      <c r="D312" t="s">
        <v>502</v>
      </c>
      <c r="E312" t="s">
        <v>397</v>
      </c>
      <c r="F312" t="s">
        <v>123</v>
      </c>
      <c r="G312" t="s">
        <v>40</v>
      </c>
      <c r="H312" t="s">
        <v>503</v>
      </c>
      <c r="I312" t="s">
        <v>42</v>
      </c>
      <c r="J312" t="s">
        <v>42</v>
      </c>
      <c r="K312" t="s">
        <v>520</v>
      </c>
      <c r="L312" t="s">
        <v>521</v>
      </c>
      <c r="M312" s="1" t="s">
        <v>42</v>
      </c>
      <c r="N312" s="39" t="s">
        <v>506</v>
      </c>
      <c r="O312" t="s">
        <v>86</v>
      </c>
      <c r="P312" s="39" t="s">
        <v>530</v>
      </c>
      <c r="Q312" t="s">
        <v>94</v>
      </c>
      <c r="R312" t="s">
        <v>113</v>
      </c>
      <c r="S312" t="s">
        <v>514</v>
      </c>
      <c r="T312" t="s">
        <v>42</v>
      </c>
      <c r="U312" t="s">
        <v>42</v>
      </c>
      <c r="V312" t="s">
        <v>42</v>
      </c>
      <c r="W312" s="8" t="s">
        <v>64</v>
      </c>
      <c r="X312" t="s">
        <v>42</v>
      </c>
      <c r="Y312" s="8">
        <v>0</v>
      </c>
      <c r="Z312">
        <v>0</v>
      </c>
      <c r="AA312">
        <v>2</v>
      </c>
      <c r="AB312">
        <v>0</v>
      </c>
      <c r="AC312" s="5">
        <v>1999</v>
      </c>
      <c r="AD312" s="1">
        <v>2008</v>
      </c>
      <c r="AE312" s="6">
        <f t="shared" si="6"/>
        <v>9</v>
      </c>
      <c r="AF312">
        <v>10</v>
      </c>
      <c r="AG312" t="s">
        <v>64</v>
      </c>
      <c r="AH312" s="1" t="s">
        <v>64</v>
      </c>
    </row>
    <row r="313" spans="1:34" ht="15" customHeight="1">
      <c r="A313" t="s">
        <v>517</v>
      </c>
      <c r="B313" t="s">
        <v>518</v>
      </c>
      <c r="C313" s="1">
        <v>21</v>
      </c>
      <c r="D313" t="s">
        <v>502</v>
      </c>
      <c r="E313" t="s">
        <v>397</v>
      </c>
      <c r="F313" t="s">
        <v>123</v>
      </c>
      <c r="G313" t="s">
        <v>40</v>
      </c>
      <c r="H313" t="s">
        <v>503</v>
      </c>
      <c r="I313" t="s">
        <v>42</v>
      </c>
      <c r="J313" t="s">
        <v>42</v>
      </c>
      <c r="K313" t="s">
        <v>520</v>
      </c>
      <c r="L313" t="s">
        <v>521</v>
      </c>
      <c r="M313" s="1" t="s">
        <v>42</v>
      </c>
      <c r="N313" s="39" t="s">
        <v>506</v>
      </c>
      <c r="O313" t="s">
        <v>86</v>
      </c>
      <c r="P313" s="39" t="s">
        <v>533</v>
      </c>
      <c r="Q313" t="s">
        <v>108</v>
      </c>
      <c r="R313" t="s">
        <v>109</v>
      </c>
      <c r="S313" t="s">
        <v>514</v>
      </c>
      <c r="T313" t="s">
        <v>42</v>
      </c>
      <c r="U313" t="s">
        <v>42</v>
      </c>
      <c r="V313" t="s">
        <v>42</v>
      </c>
      <c r="W313" s="8" t="s">
        <v>64</v>
      </c>
      <c r="X313" t="s">
        <v>42</v>
      </c>
      <c r="Y313" s="8">
        <v>0</v>
      </c>
      <c r="Z313">
        <v>2</v>
      </c>
      <c r="AA313">
        <v>2</v>
      </c>
      <c r="AB313">
        <v>0</v>
      </c>
      <c r="AC313" s="5">
        <v>2008</v>
      </c>
      <c r="AD313" s="1">
        <v>2008</v>
      </c>
      <c r="AE313" s="6" t="s">
        <v>72</v>
      </c>
      <c r="AF313">
        <v>1</v>
      </c>
      <c r="AG313" t="s">
        <v>64</v>
      </c>
      <c r="AH313" s="1" t="s">
        <v>64</v>
      </c>
    </row>
    <row r="314" spans="1:34" ht="15" customHeight="1">
      <c r="A314" t="s">
        <v>517</v>
      </c>
      <c r="B314" t="s">
        <v>518</v>
      </c>
      <c r="C314" s="1">
        <v>22</v>
      </c>
      <c r="D314" t="s">
        <v>502</v>
      </c>
      <c r="E314" t="s">
        <v>397</v>
      </c>
      <c r="F314" t="s">
        <v>123</v>
      </c>
      <c r="G314" t="s">
        <v>40</v>
      </c>
      <c r="H314" t="s">
        <v>503</v>
      </c>
      <c r="I314" t="s">
        <v>42</v>
      </c>
      <c r="J314" t="s">
        <v>42</v>
      </c>
      <c r="K314" t="s">
        <v>520</v>
      </c>
      <c r="L314" t="s">
        <v>521</v>
      </c>
      <c r="M314" s="1" t="s">
        <v>42</v>
      </c>
      <c r="N314" s="39" t="s">
        <v>506</v>
      </c>
      <c r="O314" t="s">
        <v>86</v>
      </c>
      <c r="P314" s="39" t="s">
        <v>533</v>
      </c>
      <c r="Q314" t="s">
        <v>94</v>
      </c>
      <c r="R314" t="s">
        <v>113</v>
      </c>
      <c r="S314" t="s">
        <v>514</v>
      </c>
      <c r="T314" t="s">
        <v>42</v>
      </c>
      <c r="U314" t="s">
        <v>42</v>
      </c>
      <c r="V314" t="s">
        <v>42</v>
      </c>
      <c r="W314" s="8" t="s">
        <v>64</v>
      </c>
      <c r="X314" t="s">
        <v>42</v>
      </c>
      <c r="Y314" s="8">
        <v>0</v>
      </c>
      <c r="Z314">
        <v>2</v>
      </c>
      <c r="AA314">
        <v>2</v>
      </c>
      <c r="AB314">
        <v>0</v>
      </c>
      <c r="AC314" s="5">
        <v>2008</v>
      </c>
      <c r="AD314" s="1">
        <v>2008</v>
      </c>
      <c r="AE314" s="6" t="s">
        <v>72</v>
      </c>
      <c r="AF314">
        <v>1</v>
      </c>
      <c r="AG314" t="s">
        <v>64</v>
      </c>
      <c r="AH314" s="1" t="s">
        <v>64</v>
      </c>
    </row>
    <row r="315" spans="1:34" ht="15" customHeight="1">
      <c r="A315" t="s">
        <v>517</v>
      </c>
      <c r="B315" t="s">
        <v>518</v>
      </c>
      <c r="C315" s="1">
        <v>23</v>
      </c>
      <c r="D315" t="s">
        <v>502</v>
      </c>
      <c r="E315" t="s">
        <v>397</v>
      </c>
      <c r="F315" t="s">
        <v>123</v>
      </c>
      <c r="G315" t="s">
        <v>40</v>
      </c>
      <c r="H315" t="s">
        <v>503</v>
      </c>
      <c r="I315" t="s">
        <v>42</v>
      </c>
      <c r="J315" t="s">
        <v>42</v>
      </c>
      <c r="K315" t="s">
        <v>520</v>
      </c>
      <c r="L315" t="s">
        <v>521</v>
      </c>
      <c r="M315" s="1" t="s">
        <v>42</v>
      </c>
      <c r="N315" s="39" t="s">
        <v>506</v>
      </c>
      <c r="O315" t="s">
        <v>86</v>
      </c>
      <c r="P315" s="39" t="s">
        <v>533</v>
      </c>
      <c r="Q315" t="s">
        <v>525</v>
      </c>
      <c r="R315" t="s">
        <v>42</v>
      </c>
      <c r="S315" t="s">
        <v>514</v>
      </c>
      <c r="T315" t="s">
        <v>42</v>
      </c>
      <c r="U315" t="s">
        <v>42</v>
      </c>
      <c r="V315" t="s">
        <v>42</v>
      </c>
      <c r="W315" s="8" t="s">
        <v>64</v>
      </c>
      <c r="X315" t="s">
        <v>42</v>
      </c>
      <c r="Y315" s="8">
        <v>0</v>
      </c>
      <c r="Z315">
        <v>2</v>
      </c>
      <c r="AA315">
        <v>2</v>
      </c>
      <c r="AB315">
        <v>0</v>
      </c>
      <c r="AC315" s="5">
        <v>2008</v>
      </c>
      <c r="AD315" s="1">
        <v>2008</v>
      </c>
      <c r="AE315" s="6" t="s">
        <v>72</v>
      </c>
      <c r="AF315">
        <v>1</v>
      </c>
      <c r="AG315" t="s">
        <v>64</v>
      </c>
      <c r="AH315" s="1" t="s">
        <v>64</v>
      </c>
    </row>
    <row r="316" spans="1:34" ht="15" customHeight="1">
      <c r="A316" t="s">
        <v>517</v>
      </c>
      <c r="B316" t="s">
        <v>518</v>
      </c>
      <c r="C316" s="1">
        <v>24</v>
      </c>
      <c r="D316" t="s">
        <v>502</v>
      </c>
      <c r="E316" t="s">
        <v>397</v>
      </c>
      <c r="F316" t="s">
        <v>123</v>
      </c>
      <c r="G316" t="s">
        <v>40</v>
      </c>
      <c r="H316" t="s">
        <v>503</v>
      </c>
      <c r="I316" t="s">
        <v>42</v>
      </c>
      <c r="J316" t="s">
        <v>42</v>
      </c>
      <c r="K316" t="s">
        <v>520</v>
      </c>
      <c r="L316" t="s">
        <v>521</v>
      </c>
      <c r="M316" s="1" t="s">
        <v>42</v>
      </c>
      <c r="N316" s="39" t="s">
        <v>506</v>
      </c>
      <c r="O316" t="s">
        <v>86</v>
      </c>
      <c r="P316" s="39" t="s">
        <v>533</v>
      </c>
      <c r="Q316" t="s">
        <v>527</v>
      </c>
      <c r="R316" t="s">
        <v>42</v>
      </c>
      <c r="S316" t="s">
        <v>514</v>
      </c>
      <c r="T316" t="s">
        <v>42</v>
      </c>
      <c r="U316" t="s">
        <v>42</v>
      </c>
      <c r="V316" t="s">
        <v>42</v>
      </c>
      <c r="W316" s="8" t="s">
        <v>64</v>
      </c>
      <c r="X316" t="s">
        <v>42</v>
      </c>
      <c r="Y316" s="8">
        <v>0</v>
      </c>
      <c r="Z316">
        <v>2</v>
      </c>
      <c r="AA316">
        <v>2</v>
      </c>
      <c r="AB316">
        <v>0</v>
      </c>
      <c r="AC316" s="5">
        <v>2008</v>
      </c>
      <c r="AD316" s="1">
        <v>2008</v>
      </c>
      <c r="AE316" s="6" t="s">
        <v>72</v>
      </c>
      <c r="AF316">
        <v>1</v>
      </c>
      <c r="AG316" t="s">
        <v>64</v>
      </c>
      <c r="AH316" s="1" t="s">
        <v>64</v>
      </c>
    </row>
    <row r="317" spans="1:34" ht="15" customHeight="1">
      <c r="A317" t="s">
        <v>517</v>
      </c>
      <c r="B317" t="s">
        <v>518</v>
      </c>
      <c r="C317" s="1">
        <v>25</v>
      </c>
      <c r="D317" t="s">
        <v>502</v>
      </c>
      <c r="E317" t="s">
        <v>397</v>
      </c>
      <c r="F317" t="s">
        <v>123</v>
      </c>
      <c r="G317" t="s">
        <v>40</v>
      </c>
      <c r="H317" t="s">
        <v>503</v>
      </c>
      <c r="I317" t="s">
        <v>42</v>
      </c>
      <c r="J317" t="s">
        <v>42</v>
      </c>
      <c r="K317" t="s">
        <v>520</v>
      </c>
      <c r="L317" t="s">
        <v>521</v>
      </c>
      <c r="M317" s="1" t="s">
        <v>42</v>
      </c>
      <c r="N317" s="39" t="s">
        <v>506</v>
      </c>
      <c r="O317" t="s">
        <v>86</v>
      </c>
      <c r="P317" s="39" t="s">
        <v>533</v>
      </c>
      <c r="Q317" t="s">
        <v>528</v>
      </c>
      <c r="R317" t="s">
        <v>42</v>
      </c>
      <c r="S317" t="s">
        <v>514</v>
      </c>
      <c r="T317" t="s">
        <v>42</v>
      </c>
      <c r="U317" t="s">
        <v>42</v>
      </c>
      <c r="V317" t="s">
        <v>42</v>
      </c>
      <c r="W317" s="8" t="s">
        <v>64</v>
      </c>
      <c r="X317" t="s">
        <v>42</v>
      </c>
      <c r="Y317" s="8">
        <v>0</v>
      </c>
      <c r="Z317">
        <v>2</v>
      </c>
      <c r="AA317">
        <v>2</v>
      </c>
      <c r="AB317">
        <v>0</v>
      </c>
      <c r="AC317" s="5">
        <v>2008</v>
      </c>
      <c r="AD317" s="1">
        <v>2008</v>
      </c>
      <c r="AE317" s="6" t="s">
        <v>72</v>
      </c>
      <c r="AF317">
        <v>1</v>
      </c>
      <c r="AG317" t="s">
        <v>64</v>
      </c>
      <c r="AH317" s="1" t="s">
        <v>64</v>
      </c>
    </row>
    <row r="318" spans="1:34" s="9" customFormat="1" ht="15" customHeight="1">
      <c r="A318" s="9" t="s">
        <v>517</v>
      </c>
      <c r="B318" s="9" t="s">
        <v>518</v>
      </c>
      <c r="C318" s="10">
        <v>26</v>
      </c>
      <c r="D318" t="s">
        <v>502</v>
      </c>
      <c r="E318" s="9" t="s">
        <v>397</v>
      </c>
      <c r="F318" s="9" t="s">
        <v>123</v>
      </c>
      <c r="G318" s="9" t="s">
        <v>40</v>
      </c>
      <c r="H318" t="s">
        <v>503</v>
      </c>
      <c r="I318" s="9" t="s">
        <v>42</v>
      </c>
      <c r="J318" s="9" t="s">
        <v>42</v>
      </c>
      <c r="K318" s="9" t="s">
        <v>520</v>
      </c>
      <c r="L318" s="9" t="s">
        <v>521</v>
      </c>
      <c r="M318" s="10" t="s">
        <v>42</v>
      </c>
      <c r="N318" s="40" t="s">
        <v>506</v>
      </c>
      <c r="O318" s="9" t="s">
        <v>86</v>
      </c>
      <c r="P318" s="40" t="s">
        <v>533</v>
      </c>
      <c r="Q318" s="9" t="s">
        <v>522</v>
      </c>
      <c r="R318" s="9" t="s">
        <v>42</v>
      </c>
      <c r="S318" s="9" t="s">
        <v>514</v>
      </c>
      <c r="T318" s="9" t="s">
        <v>42</v>
      </c>
      <c r="U318" s="9" t="s">
        <v>42</v>
      </c>
      <c r="V318" s="9" t="s">
        <v>42</v>
      </c>
      <c r="W318" s="11" t="s">
        <v>64</v>
      </c>
      <c r="X318" s="9" t="s">
        <v>42</v>
      </c>
      <c r="Y318" s="11">
        <v>0</v>
      </c>
      <c r="Z318" s="9">
        <v>2</v>
      </c>
      <c r="AA318" s="9">
        <v>2</v>
      </c>
      <c r="AB318" s="9">
        <v>0</v>
      </c>
      <c r="AC318" s="12">
        <v>2008</v>
      </c>
      <c r="AD318" s="10">
        <v>2008</v>
      </c>
      <c r="AE318" s="13" t="s">
        <v>72</v>
      </c>
      <c r="AF318" s="9">
        <v>1</v>
      </c>
      <c r="AG318" s="9" t="s">
        <v>64</v>
      </c>
      <c r="AH318" s="10" t="s">
        <v>64</v>
      </c>
    </row>
    <row r="319" spans="1:34" ht="15" customHeight="1">
      <c r="A319" t="s">
        <v>534</v>
      </c>
      <c r="B319" t="s">
        <v>535</v>
      </c>
      <c r="C319" s="24">
        <v>1</v>
      </c>
      <c r="D319" t="s">
        <v>38</v>
      </c>
      <c r="E319" t="s">
        <v>38</v>
      </c>
      <c r="F319" t="s">
        <v>39</v>
      </c>
      <c r="G319" t="s">
        <v>184</v>
      </c>
      <c r="H319" t="s">
        <v>41</v>
      </c>
      <c r="I319" t="s">
        <v>42</v>
      </c>
      <c r="J319" t="s">
        <v>42</v>
      </c>
      <c r="K319" t="s">
        <v>42</v>
      </c>
      <c r="L319" t="s">
        <v>42</v>
      </c>
      <c r="M319" t="s">
        <v>42</v>
      </c>
      <c r="N319" s="39" t="s">
        <v>60</v>
      </c>
      <c r="O319" t="s">
        <v>86</v>
      </c>
      <c r="P319" s="39" t="s">
        <v>536</v>
      </c>
      <c r="Q319" t="s">
        <v>46</v>
      </c>
      <c r="R319" t="s">
        <v>68</v>
      </c>
      <c r="S319" t="s">
        <v>537</v>
      </c>
      <c r="T319" t="s">
        <v>307</v>
      </c>
      <c r="U319" t="s">
        <v>42</v>
      </c>
      <c r="V319" t="s">
        <v>42</v>
      </c>
      <c r="W319" s="8" t="s">
        <v>64</v>
      </c>
      <c r="X319" t="s">
        <v>42</v>
      </c>
      <c r="Y319" s="8">
        <v>0</v>
      </c>
      <c r="Z319">
        <v>3</v>
      </c>
      <c r="AA319">
        <v>3</v>
      </c>
      <c r="AB319">
        <v>0</v>
      </c>
      <c r="AC319" s="5">
        <v>2019</v>
      </c>
      <c r="AD319" s="1">
        <v>2023</v>
      </c>
      <c r="AE319" s="6">
        <f t="shared" ref="AE319:AE326" si="7">AD319-AC319</f>
        <v>4</v>
      </c>
      <c r="AF319">
        <v>1</v>
      </c>
      <c r="AG319" t="s">
        <v>64</v>
      </c>
      <c r="AH319" s="1" t="s">
        <v>64</v>
      </c>
    </row>
    <row r="320" spans="1:34" ht="15" customHeight="1">
      <c r="A320" t="s">
        <v>534</v>
      </c>
      <c r="B320" t="s">
        <v>535</v>
      </c>
      <c r="C320" s="24">
        <v>2</v>
      </c>
      <c r="D320" t="s">
        <v>38</v>
      </c>
      <c r="E320" t="s">
        <v>38</v>
      </c>
      <c r="F320" t="s">
        <v>39</v>
      </c>
      <c r="G320" t="s">
        <v>184</v>
      </c>
      <c r="H320" t="s">
        <v>41</v>
      </c>
      <c r="I320" t="s">
        <v>42</v>
      </c>
      <c r="J320" t="s">
        <v>42</v>
      </c>
      <c r="K320" t="s">
        <v>42</v>
      </c>
      <c r="L320" t="s">
        <v>42</v>
      </c>
      <c r="M320" t="s">
        <v>42</v>
      </c>
      <c r="N320" s="39" t="s">
        <v>60</v>
      </c>
      <c r="O320" t="s">
        <v>86</v>
      </c>
      <c r="P320" s="39" t="s">
        <v>538</v>
      </c>
      <c r="Q320" t="s">
        <v>46</v>
      </c>
      <c r="R320" t="s">
        <v>68</v>
      </c>
      <c r="S320" t="s">
        <v>181</v>
      </c>
      <c r="T320" t="s">
        <v>307</v>
      </c>
      <c r="U320" t="s">
        <v>42</v>
      </c>
      <c r="V320" t="s">
        <v>42</v>
      </c>
      <c r="W320" s="8" t="s">
        <v>64</v>
      </c>
      <c r="X320" t="s">
        <v>42</v>
      </c>
      <c r="Y320" s="8">
        <v>0</v>
      </c>
      <c r="Z320">
        <v>3</v>
      </c>
      <c r="AA320">
        <v>3</v>
      </c>
      <c r="AB320">
        <v>0</v>
      </c>
      <c r="AC320" s="5">
        <v>2019</v>
      </c>
      <c r="AD320" s="1">
        <v>2023</v>
      </c>
      <c r="AE320" s="6">
        <f t="shared" si="7"/>
        <v>4</v>
      </c>
      <c r="AF320">
        <v>5</v>
      </c>
      <c r="AG320" t="s">
        <v>64</v>
      </c>
      <c r="AH320" s="1" t="s">
        <v>64</v>
      </c>
    </row>
    <row r="321" spans="1:35" ht="15" customHeight="1">
      <c r="A321" t="s">
        <v>534</v>
      </c>
      <c r="B321" t="s">
        <v>535</v>
      </c>
      <c r="C321" s="24">
        <v>3</v>
      </c>
      <c r="D321" t="s">
        <v>38</v>
      </c>
      <c r="E321" t="s">
        <v>38</v>
      </c>
      <c r="F321" t="s">
        <v>39</v>
      </c>
      <c r="G321" t="s">
        <v>184</v>
      </c>
      <c r="H321" t="s">
        <v>41</v>
      </c>
      <c r="I321" t="s">
        <v>91</v>
      </c>
      <c r="J321" t="s">
        <v>42</v>
      </c>
      <c r="K321" t="s">
        <v>42</v>
      </c>
      <c r="L321" t="s">
        <v>42</v>
      </c>
      <c r="M321" t="s">
        <v>42</v>
      </c>
      <c r="N321" s="39" t="s">
        <v>43</v>
      </c>
      <c r="O321" t="s">
        <v>44</v>
      </c>
      <c r="P321" s="39" t="s">
        <v>539</v>
      </c>
      <c r="Q321" t="s">
        <v>46</v>
      </c>
      <c r="R321" t="s">
        <v>68</v>
      </c>
      <c r="S321" t="s">
        <v>48</v>
      </c>
      <c r="T321" t="s">
        <v>307</v>
      </c>
      <c r="U321" t="s">
        <v>42</v>
      </c>
      <c r="V321" t="s">
        <v>42</v>
      </c>
      <c r="W321" s="8" t="s">
        <v>50</v>
      </c>
      <c r="X321" t="s">
        <v>540</v>
      </c>
      <c r="Y321" s="8">
        <v>0</v>
      </c>
      <c r="Z321">
        <v>3</v>
      </c>
      <c r="AA321">
        <v>3</v>
      </c>
      <c r="AB321">
        <v>0</v>
      </c>
      <c r="AC321" s="5">
        <v>2019</v>
      </c>
      <c r="AD321" s="1">
        <v>2023</v>
      </c>
      <c r="AE321" s="6">
        <f t="shared" si="7"/>
        <v>4</v>
      </c>
      <c r="AF321">
        <v>5</v>
      </c>
      <c r="AG321" t="s">
        <v>64</v>
      </c>
      <c r="AH321" s="1" t="s">
        <v>64</v>
      </c>
    </row>
    <row r="322" spans="1:35" ht="15" customHeight="1">
      <c r="A322" t="s">
        <v>534</v>
      </c>
      <c r="B322" t="s">
        <v>535</v>
      </c>
      <c r="C322" s="24">
        <v>4</v>
      </c>
      <c r="D322" t="s">
        <v>38</v>
      </c>
      <c r="E322" t="s">
        <v>38</v>
      </c>
      <c r="F322" t="s">
        <v>39</v>
      </c>
      <c r="G322" t="s">
        <v>184</v>
      </c>
      <c r="H322" t="s">
        <v>41</v>
      </c>
      <c r="I322" t="s">
        <v>91</v>
      </c>
      <c r="J322" t="s">
        <v>42</v>
      </c>
      <c r="K322" t="s">
        <v>42</v>
      </c>
      <c r="L322" t="s">
        <v>42</v>
      </c>
      <c r="M322" t="s">
        <v>42</v>
      </c>
      <c r="N322" s="39" t="s">
        <v>43</v>
      </c>
      <c r="O322" t="s">
        <v>44</v>
      </c>
      <c r="P322" s="39" t="s">
        <v>350</v>
      </c>
      <c r="Q322" t="s">
        <v>46</v>
      </c>
      <c r="R322" t="s">
        <v>68</v>
      </c>
      <c r="S322" t="s">
        <v>48</v>
      </c>
      <c r="T322" t="s">
        <v>307</v>
      </c>
      <c r="U322" t="s">
        <v>42</v>
      </c>
      <c r="V322" t="s">
        <v>42</v>
      </c>
      <c r="W322" s="8" t="s">
        <v>50</v>
      </c>
      <c r="X322" t="s">
        <v>540</v>
      </c>
      <c r="Y322" s="8">
        <v>0</v>
      </c>
      <c r="Z322">
        <v>3</v>
      </c>
      <c r="AA322">
        <v>3</v>
      </c>
      <c r="AB322">
        <v>0</v>
      </c>
      <c r="AC322" s="5">
        <v>2019</v>
      </c>
      <c r="AD322" s="1">
        <v>2023</v>
      </c>
      <c r="AE322" s="6">
        <f t="shared" si="7"/>
        <v>4</v>
      </c>
      <c r="AF322">
        <v>5</v>
      </c>
      <c r="AG322" t="s">
        <v>64</v>
      </c>
      <c r="AH322" s="1" t="s">
        <v>64</v>
      </c>
    </row>
    <row r="323" spans="1:35" ht="15" customHeight="1">
      <c r="A323" t="s">
        <v>534</v>
      </c>
      <c r="B323" t="s">
        <v>535</v>
      </c>
      <c r="C323" s="24">
        <v>5</v>
      </c>
      <c r="D323" t="s">
        <v>38</v>
      </c>
      <c r="E323" t="s">
        <v>38</v>
      </c>
      <c r="F323" t="s">
        <v>39</v>
      </c>
      <c r="G323" t="s">
        <v>184</v>
      </c>
      <c r="H323" t="s">
        <v>41</v>
      </c>
      <c r="I323" t="s">
        <v>91</v>
      </c>
      <c r="J323" t="s">
        <v>42</v>
      </c>
      <c r="K323" t="s">
        <v>42</v>
      </c>
      <c r="L323" t="s">
        <v>42</v>
      </c>
      <c r="M323" t="s">
        <v>42</v>
      </c>
      <c r="N323" s="39" t="s">
        <v>57</v>
      </c>
      <c r="O323" t="s">
        <v>44</v>
      </c>
      <c r="P323" s="39" t="s">
        <v>541</v>
      </c>
      <c r="Q323" t="s">
        <v>46</v>
      </c>
      <c r="R323" t="s">
        <v>68</v>
      </c>
      <c r="S323" t="s">
        <v>508</v>
      </c>
      <c r="T323" t="s">
        <v>307</v>
      </c>
      <c r="U323" t="s">
        <v>42</v>
      </c>
      <c r="V323" t="s">
        <v>42</v>
      </c>
      <c r="W323" s="8" t="s">
        <v>50</v>
      </c>
      <c r="X323" t="s">
        <v>540</v>
      </c>
      <c r="Y323" s="8">
        <v>0</v>
      </c>
      <c r="Z323">
        <v>3</v>
      </c>
      <c r="AA323">
        <v>3</v>
      </c>
      <c r="AB323">
        <v>0</v>
      </c>
      <c r="AC323" s="5">
        <v>2019</v>
      </c>
      <c r="AD323" s="1">
        <v>2023</v>
      </c>
      <c r="AE323" s="6">
        <f t="shared" si="7"/>
        <v>4</v>
      </c>
      <c r="AF323">
        <v>5</v>
      </c>
      <c r="AG323" t="s">
        <v>64</v>
      </c>
      <c r="AH323" s="1" t="s">
        <v>64</v>
      </c>
    </row>
    <row r="324" spans="1:35" ht="15" customHeight="1">
      <c r="A324" t="s">
        <v>534</v>
      </c>
      <c r="B324" t="s">
        <v>535</v>
      </c>
      <c r="C324" s="24">
        <v>6</v>
      </c>
      <c r="D324" t="s">
        <v>38</v>
      </c>
      <c r="E324" t="s">
        <v>38</v>
      </c>
      <c r="F324" t="s">
        <v>39</v>
      </c>
      <c r="G324" t="s">
        <v>184</v>
      </c>
      <c r="H324" t="s">
        <v>41</v>
      </c>
      <c r="I324" t="s">
        <v>91</v>
      </c>
      <c r="J324" t="s">
        <v>42</v>
      </c>
      <c r="K324" t="s">
        <v>42</v>
      </c>
      <c r="L324" t="s">
        <v>42</v>
      </c>
      <c r="M324" t="s">
        <v>42</v>
      </c>
      <c r="N324" s="39" t="s">
        <v>43</v>
      </c>
      <c r="O324" t="s">
        <v>86</v>
      </c>
      <c r="P324" s="39" t="s">
        <v>542</v>
      </c>
      <c r="Q324" t="s">
        <v>46</v>
      </c>
      <c r="R324" t="s">
        <v>68</v>
      </c>
      <c r="S324" t="s">
        <v>48</v>
      </c>
      <c r="T324" t="s">
        <v>307</v>
      </c>
      <c r="U324" t="s">
        <v>42</v>
      </c>
      <c r="V324" t="s">
        <v>42</v>
      </c>
      <c r="W324" s="8" t="s">
        <v>64</v>
      </c>
      <c r="X324" t="s">
        <v>42</v>
      </c>
      <c r="Y324" s="8">
        <v>0</v>
      </c>
      <c r="Z324">
        <v>3</v>
      </c>
      <c r="AA324">
        <v>3</v>
      </c>
      <c r="AB324">
        <v>0</v>
      </c>
      <c r="AC324" s="5">
        <v>2019</v>
      </c>
      <c r="AD324" s="1">
        <v>2023</v>
      </c>
      <c r="AE324" s="6">
        <f t="shared" si="7"/>
        <v>4</v>
      </c>
      <c r="AF324">
        <v>1</v>
      </c>
      <c r="AG324" t="s">
        <v>64</v>
      </c>
      <c r="AH324" s="1" t="s">
        <v>64</v>
      </c>
    </row>
    <row r="325" spans="1:35" ht="15" customHeight="1">
      <c r="A325" t="s">
        <v>534</v>
      </c>
      <c r="B325" t="s">
        <v>535</v>
      </c>
      <c r="C325" s="24">
        <v>7</v>
      </c>
      <c r="D325" t="s">
        <v>38</v>
      </c>
      <c r="E325" t="s">
        <v>38</v>
      </c>
      <c r="F325" t="s">
        <v>39</v>
      </c>
      <c r="G325" t="s">
        <v>184</v>
      </c>
      <c r="H325" t="s">
        <v>41</v>
      </c>
      <c r="I325" t="s">
        <v>91</v>
      </c>
      <c r="J325" t="s">
        <v>42</v>
      </c>
      <c r="K325" t="s">
        <v>42</v>
      </c>
      <c r="L325" t="s">
        <v>42</v>
      </c>
      <c r="M325" t="s">
        <v>42</v>
      </c>
      <c r="N325" s="39" t="s">
        <v>43</v>
      </c>
      <c r="O325" t="s">
        <v>86</v>
      </c>
      <c r="P325" s="39" t="s">
        <v>543</v>
      </c>
      <c r="Q325" t="s">
        <v>46</v>
      </c>
      <c r="R325" t="s">
        <v>68</v>
      </c>
      <c r="S325" t="s">
        <v>48</v>
      </c>
      <c r="T325" t="s">
        <v>307</v>
      </c>
      <c r="U325" t="s">
        <v>42</v>
      </c>
      <c r="V325" t="s">
        <v>42</v>
      </c>
      <c r="W325" s="8" t="s">
        <v>64</v>
      </c>
      <c r="X325" t="s">
        <v>42</v>
      </c>
      <c r="Y325" s="8">
        <v>0</v>
      </c>
      <c r="Z325">
        <v>3</v>
      </c>
      <c r="AA325">
        <v>3</v>
      </c>
      <c r="AB325">
        <v>0</v>
      </c>
      <c r="AC325" s="5">
        <v>2019</v>
      </c>
      <c r="AD325" s="1">
        <v>2023</v>
      </c>
      <c r="AE325" s="6">
        <f t="shared" si="7"/>
        <v>4</v>
      </c>
      <c r="AF325">
        <v>1</v>
      </c>
      <c r="AG325" t="s">
        <v>64</v>
      </c>
      <c r="AH325" s="1" t="s">
        <v>64</v>
      </c>
    </row>
    <row r="326" spans="1:35" s="9" customFormat="1" ht="15" customHeight="1">
      <c r="A326" s="9" t="s">
        <v>534</v>
      </c>
      <c r="B326" s="9" t="s">
        <v>535</v>
      </c>
      <c r="C326" s="25">
        <v>8</v>
      </c>
      <c r="D326" s="9" t="s">
        <v>38</v>
      </c>
      <c r="E326" s="9" t="s">
        <v>38</v>
      </c>
      <c r="F326" s="9" t="s">
        <v>39</v>
      </c>
      <c r="G326" s="9" t="s">
        <v>184</v>
      </c>
      <c r="H326" s="9" t="s">
        <v>41</v>
      </c>
      <c r="I326" s="9" t="s">
        <v>91</v>
      </c>
      <c r="J326" s="9" t="s">
        <v>42</v>
      </c>
      <c r="K326" s="9" t="s">
        <v>42</v>
      </c>
      <c r="L326" s="9" t="s">
        <v>42</v>
      </c>
      <c r="M326" s="9" t="s">
        <v>42</v>
      </c>
      <c r="N326" s="39" t="s">
        <v>43</v>
      </c>
      <c r="O326" s="9" t="s">
        <v>86</v>
      </c>
      <c r="P326" s="40" t="s">
        <v>544</v>
      </c>
      <c r="Q326" s="9" t="s">
        <v>46</v>
      </c>
      <c r="R326" s="9" t="s">
        <v>68</v>
      </c>
      <c r="S326" s="9" t="s">
        <v>508</v>
      </c>
      <c r="T326" s="9" t="s">
        <v>307</v>
      </c>
      <c r="U326" s="9" t="s">
        <v>42</v>
      </c>
      <c r="V326" s="9" t="s">
        <v>42</v>
      </c>
      <c r="W326" s="11" t="s">
        <v>64</v>
      </c>
      <c r="X326" s="9" t="s">
        <v>42</v>
      </c>
      <c r="Y326" s="11">
        <v>0</v>
      </c>
      <c r="Z326" s="9">
        <v>3</v>
      </c>
      <c r="AA326" s="9">
        <v>3</v>
      </c>
      <c r="AB326" s="9">
        <v>0</v>
      </c>
      <c r="AC326" s="12">
        <v>2019</v>
      </c>
      <c r="AD326" s="10">
        <v>2023</v>
      </c>
      <c r="AE326" s="13">
        <f t="shared" si="7"/>
        <v>4</v>
      </c>
      <c r="AF326" s="9">
        <v>1</v>
      </c>
      <c r="AG326" s="9" t="s">
        <v>64</v>
      </c>
      <c r="AH326" s="10" t="s">
        <v>64</v>
      </c>
    </row>
    <row r="327" spans="1:35" ht="15" customHeight="1">
      <c r="A327" t="s">
        <v>545</v>
      </c>
      <c r="B327" t="s">
        <v>546</v>
      </c>
      <c r="C327" s="24">
        <v>1</v>
      </c>
      <c r="D327" t="s">
        <v>426</v>
      </c>
      <c r="E327" t="s">
        <v>426</v>
      </c>
      <c r="F327" t="s">
        <v>39</v>
      </c>
      <c r="G327" t="s">
        <v>40</v>
      </c>
      <c r="H327" t="s">
        <v>547</v>
      </c>
      <c r="I327" t="s">
        <v>42</v>
      </c>
      <c r="J327" t="s">
        <v>42</v>
      </c>
      <c r="K327" t="s">
        <v>42</v>
      </c>
      <c r="L327" t="s">
        <v>42</v>
      </c>
      <c r="M327" t="s">
        <v>42</v>
      </c>
      <c r="N327" s="39" t="s">
        <v>430</v>
      </c>
      <c r="O327" t="s">
        <v>44</v>
      </c>
      <c r="P327" s="39" t="s">
        <v>456</v>
      </c>
      <c r="Q327" t="s">
        <v>42</v>
      </c>
      <c r="R327" t="s">
        <v>42</v>
      </c>
      <c r="S327" t="s">
        <v>42</v>
      </c>
      <c r="T327" t="s">
        <v>42</v>
      </c>
      <c r="U327" t="s">
        <v>548</v>
      </c>
      <c r="V327" t="s">
        <v>42</v>
      </c>
      <c r="W327" s="8" t="s">
        <v>50</v>
      </c>
      <c r="X327" t="s">
        <v>549</v>
      </c>
      <c r="Y327" s="8">
        <v>0</v>
      </c>
      <c r="Z327">
        <v>6</v>
      </c>
      <c r="AA327">
        <v>0</v>
      </c>
      <c r="AB327">
        <v>19</v>
      </c>
      <c r="AC327" s="5">
        <v>2017</v>
      </c>
      <c r="AD327" s="1">
        <v>2018</v>
      </c>
      <c r="AE327" s="6" t="s">
        <v>72</v>
      </c>
      <c r="AF327">
        <v>1</v>
      </c>
      <c r="AG327" t="s">
        <v>64</v>
      </c>
      <c r="AH327" s="1" t="s">
        <v>64</v>
      </c>
    </row>
    <row r="328" spans="1:35" s="9" customFormat="1" ht="15" customHeight="1">
      <c r="A328" s="9" t="s">
        <v>545</v>
      </c>
      <c r="B328" s="9" t="s">
        <v>546</v>
      </c>
      <c r="C328" s="25">
        <v>2</v>
      </c>
      <c r="D328" s="9" t="s">
        <v>426</v>
      </c>
      <c r="E328" s="9" t="s">
        <v>426</v>
      </c>
      <c r="F328" s="9" t="s">
        <v>39</v>
      </c>
      <c r="G328" s="9" t="s">
        <v>40</v>
      </c>
      <c r="H328" s="9" t="s">
        <v>428</v>
      </c>
      <c r="I328" s="9" t="s">
        <v>42</v>
      </c>
      <c r="J328" s="9" t="s">
        <v>42</v>
      </c>
      <c r="K328" s="9" t="s">
        <v>42</v>
      </c>
      <c r="L328" s="9" t="s">
        <v>42</v>
      </c>
      <c r="M328" s="9" t="s">
        <v>42</v>
      </c>
      <c r="N328" s="40" t="s">
        <v>430</v>
      </c>
      <c r="O328" s="9" t="s">
        <v>44</v>
      </c>
      <c r="P328" s="40" t="s">
        <v>436</v>
      </c>
      <c r="Q328" s="9" t="s">
        <v>42</v>
      </c>
      <c r="R328" s="9" t="s">
        <v>42</v>
      </c>
      <c r="S328" s="9" t="s">
        <v>42</v>
      </c>
      <c r="T328" s="9" t="s">
        <v>42</v>
      </c>
      <c r="U328" s="9" t="s">
        <v>548</v>
      </c>
      <c r="V328" s="9" t="s">
        <v>42</v>
      </c>
      <c r="W328" s="11" t="s">
        <v>50</v>
      </c>
      <c r="X328" s="9" t="s">
        <v>549</v>
      </c>
      <c r="Y328" s="11">
        <v>0</v>
      </c>
      <c r="Z328" s="9">
        <v>6</v>
      </c>
      <c r="AA328" s="9">
        <v>0</v>
      </c>
      <c r="AB328" s="9">
        <v>19</v>
      </c>
      <c r="AC328" s="12">
        <v>2017</v>
      </c>
      <c r="AD328" s="10">
        <v>2018</v>
      </c>
      <c r="AE328" s="13" t="s">
        <v>72</v>
      </c>
      <c r="AF328" s="9">
        <v>1</v>
      </c>
      <c r="AG328" s="9" t="s">
        <v>64</v>
      </c>
      <c r="AH328" s="10" t="s">
        <v>64</v>
      </c>
    </row>
    <row r="329" spans="1:35" ht="15" customHeight="1">
      <c r="A329" t="s">
        <v>550</v>
      </c>
      <c r="B329" t="s">
        <v>551</v>
      </c>
      <c r="C329" s="24">
        <v>1</v>
      </c>
      <c r="D329" t="s">
        <v>38</v>
      </c>
      <c r="E329" t="s">
        <v>38</v>
      </c>
      <c r="F329" t="s">
        <v>39</v>
      </c>
      <c r="G329" t="s">
        <v>40</v>
      </c>
      <c r="H329" t="s">
        <v>309</v>
      </c>
      <c r="I329" t="s">
        <v>310</v>
      </c>
      <c r="J329" t="s">
        <v>42</v>
      </c>
      <c r="K329" t="s">
        <v>42</v>
      </c>
      <c r="L329" t="s">
        <v>42</v>
      </c>
      <c r="M329" s="1" t="s">
        <v>42</v>
      </c>
      <c r="N329" s="39" t="s">
        <v>132</v>
      </c>
      <c r="O329" t="s">
        <v>86</v>
      </c>
      <c r="P329" s="39" t="s">
        <v>132</v>
      </c>
      <c r="Q329" t="s">
        <v>77</v>
      </c>
      <c r="R329" t="s">
        <v>42</v>
      </c>
      <c r="S329" t="s">
        <v>552</v>
      </c>
      <c r="T329" t="s">
        <v>42</v>
      </c>
      <c r="U329" t="s">
        <v>42</v>
      </c>
      <c r="V329" t="s">
        <v>42</v>
      </c>
      <c r="W329" s="8" t="s">
        <v>64</v>
      </c>
      <c r="X329" t="s">
        <v>42</v>
      </c>
      <c r="Y329" s="8">
        <v>1</v>
      </c>
      <c r="Z329">
        <v>0</v>
      </c>
      <c r="AA329">
        <v>0</v>
      </c>
      <c r="AB329">
        <v>0</v>
      </c>
      <c r="AC329" s="5">
        <v>2018</v>
      </c>
      <c r="AD329" s="1">
        <v>2021</v>
      </c>
      <c r="AE329" s="6">
        <f t="shared" ref="AE329:AE334" si="8">AD329-AC329</f>
        <v>3</v>
      </c>
      <c r="AF329">
        <v>3</v>
      </c>
      <c r="AG329" t="s">
        <v>64</v>
      </c>
      <c r="AH329" s="1" t="s">
        <v>64</v>
      </c>
    </row>
    <row r="330" spans="1:35" ht="15" customHeight="1">
      <c r="A330" t="s">
        <v>550</v>
      </c>
      <c r="B330" t="s">
        <v>551</v>
      </c>
      <c r="C330" s="24">
        <v>2</v>
      </c>
      <c r="D330" t="s">
        <v>38</v>
      </c>
      <c r="E330" t="s">
        <v>38</v>
      </c>
      <c r="F330" t="s">
        <v>39</v>
      </c>
      <c r="G330" t="s">
        <v>40</v>
      </c>
      <c r="H330" t="s">
        <v>309</v>
      </c>
      <c r="I330" t="s">
        <v>310</v>
      </c>
      <c r="J330" t="s">
        <v>42</v>
      </c>
      <c r="K330" t="s">
        <v>42</v>
      </c>
      <c r="L330" t="s">
        <v>42</v>
      </c>
      <c r="M330" s="1" t="s">
        <v>42</v>
      </c>
      <c r="N330" s="39" t="s">
        <v>79</v>
      </c>
      <c r="O330" t="s">
        <v>44</v>
      </c>
      <c r="P330" s="39" t="s">
        <v>201</v>
      </c>
      <c r="Q330" t="s">
        <v>77</v>
      </c>
      <c r="R330" t="s">
        <v>42</v>
      </c>
      <c r="S330" t="s">
        <v>202</v>
      </c>
      <c r="T330" t="s">
        <v>204</v>
      </c>
      <c r="U330" t="s">
        <v>42</v>
      </c>
      <c r="V330" t="s">
        <v>42</v>
      </c>
      <c r="W330" s="8" t="s">
        <v>50</v>
      </c>
      <c r="X330" t="s">
        <v>553</v>
      </c>
      <c r="Y330" s="8">
        <v>1</v>
      </c>
      <c r="Z330">
        <v>0</v>
      </c>
      <c r="AA330">
        <v>0</v>
      </c>
      <c r="AB330">
        <v>0</v>
      </c>
      <c r="AC330" s="5">
        <v>2018</v>
      </c>
      <c r="AD330" s="1">
        <v>2021</v>
      </c>
      <c r="AE330" s="6">
        <f t="shared" si="8"/>
        <v>3</v>
      </c>
      <c r="AF330">
        <v>3</v>
      </c>
      <c r="AG330" t="s">
        <v>64</v>
      </c>
      <c r="AH330" s="1" t="s">
        <v>64</v>
      </c>
    </row>
    <row r="331" spans="1:35" ht="15" customHeight="1">
      <c r="A331" t="s">
        <v>550</v>
      </c>
      <c r="B331" t="s">
        <v>551</v>
      </c>
      <c r="C331" s="24">
        <v>3</v>
      </c>
      <c r="D331" t="s">
        <v>38</v>
      </c>
      <c r="E331" t="s">
        <v>38</v>
      </c>
      <c r="F331" t="s">
        <v>39</v>
      </c>
      <c r="G331" t="s">
        <v>40</v>
      </c>
      <c r="H331" t="s">
        <v>309</v>
      </c>
      <c r="I331" t="s">
        <v>310</v>
      </c>
      <c r="J331" t="s">
        <v>42</v>
      </c>
      <c r="K331" t="s">
        <v>42</v>
      </c>
      <c r="L331" t="s">
        <v>42</v>
      </c>
      <c r="M331" s="1" t="s">
        <v>42</v>
      </c>
      <c r="N331" s="39" t="s">
        <v>186</v>
      </c>
      <c r="O331" t="s">
        <v>44</v>
      </c>
      <c r="P331" s="39" t="s">
        <v>554</v>
      </c>
      <c r="Q331" t="s">
        <v>77</v>
      </c>
      <c r="R331" t="s">
        <v>42</v>
      </c>
      <c r="S331" t="s">
        <v>42</v>
      </c>
      <c r="T331" s="15" t="s">
        <v>555</v>
      </c>
      <c r="U331" t="s">
        <v>42</v>
      </c>
      <c r="V331" t="s">
        <v>42</v>
      </c>
      <c r="W331" s="8" t="s">
        <v>50</v>
      </c>
      <c r="X331" t="s">
        <v>556</v>
      </c>
      <c r="Y331" s="8">
        <v>1</v>
      </c>
      <c r="Z331">
        <v>0</v>
      </c>
      <c r="AA331">
        <v>0</v>
      </c>
      <c r="AB331">
        <v>0</v>
      </c>
      <c r="AC331" s="5">
        <v>2018</v>
      </c>
      <c r="AD331" s="1">
        <v>2021</v>
      </c>
      <c r="AE331" s="6">
        <f t="shared" si="8"/>
        <v>3</v>
      </c>
      <c r="AF331">
        <v>3</v>
      </c>
      <c r="AG331" t="s">
        <v>64</v>
      </c>
      <c r="AH331" s="1" t="s">
        <v>64</v>
      </c>
    </row>
    <row r="332" spans="1:35" ht="15" customHeight="1">
      <c r="A332" t="s">
        <v>550</v>
      </c>
      <c r="B332" t="s">
        <v>551</v>
      </c>
      <c r="C332" s="24">
        <v>4</v>
      </c>
      <c r="D332" t="s">
        <v>38</v>
      </c>
      <c r="E332" t="s">
        <v>38</v>
      </c>
      <c r="F332" t="s">
        <v>39</v>
      </c>
      <c r="G332" t="s">
        <v>40</v>
      </c>
      <c r="H332" t="s">
        <v>309</v>
      </c>
      <c r="I332" t="s">
        <v>310</v>
      </c>
      <c r="J332" t="s">
        <v>42</v>
      </c>
      <c r="K332" t="s">
        <v>42</v>
      </c>
      <c r="L332" t="s">
        <v>42</v>
      </c>
      <c r="M332" s="1" t="s">
        <v>42</v>
      </c>
      <c r="N332" s="39" t="s">
        <v>269</v>
      </c>
      <c r="O332" t="s">
        <v>44</v>
      </c>
      <c r="P332" s="39" t="s">
        <v>269</v>
      </c>
      <c r="Q332" t="s">
        <v>77</v>
      </c>
      <c r="R332" t="s">
        <v>42</v>
      </c>
      <c r="S332" t="s">
        <v>557</v>
      </c>
      <c r="T332" s="15" t="s">
        <v>204</v>
      </c>
      <c r="U332" t="s">
        <v>42</v>
      </c>
      <c r="V332" t="s">
        <v>42</v>
      </c>
      <c r="W332" s="8" t="s">
        <v>50</v>
      </c>
      <c r="X332" t="s">
        <v>316</v>
      </c>
      <c r="Y332" s="8">
        <v>1</v>
      </c>
      <c r="Z332">
        <v>0</v>
      </c>
      <c r="AA332">
        <v>0</v>
      </c>
      <c r="AB332">
        <v>0</v>
      </c>
      <c r="AC332" s="5">
        <v>2018</v>
      </c>
      <c r="AD332" s="1">
        <v>2021</v>
      </c>
      <c r="AE332" s="6">
        <f t="shared" si="8"/>
        <v>3</v>
      </c>
      <c r="AF332">
        <v>3</v>
      </c>
      <c r="AG332" t="s">
        <v>64</v>
      </c>
      <c r="AH332" s="1" t="s">
        <v>64</v>
      </c>
    </row>
    <row r="333" spans="1:35" ht="15" customHeight="1">
      <c r="A333" t="s">
        <v>550</v>
      </c>
      <c r="B333" t="s">
        <v>551</v>
      </c>
      <c r="C333" s="24">
        <v>5</v>
      </c>
      <c r="D333" t="s">
        <v>38</v>
      </c>
      <c r="E333" t="s">
        <v>38</v>
      </c>
      <c r="F333" t="s">
        <v>39</v>
      </c>
      <c r="G333" t="s">
        <v>40</v>
      </c>
      <c r="H333" t="s">
        <v>309</v>
      </c>
      <c r="I333" t="s">
        <v>310</v>
      </c>
      <c r="J333" t="s">
        <v>42</v>
      </c>
      <c r="K333" t="s">
        <v>42</v>
      </c>
      <c r="L333" t="s">
        <v>42</v>
      </c>
      <c r="M333" s="1" t="s">
        <v>42</v>
      </c>
      <c r="N333" s="39" t="s">
        <v>269</v>
      </c>
      <c r="O333" t="s">
        <v>44</v>
      </c>
      <c r="P333" s="39" t="s">
        <v>269</v>
      </c>
      <c r="Q333" t="s">
        <v>77</v>
      </c>
      <c r="R333" t="s">
        <v>42</v>
      </c>
      <c r="S333" t="s">
        <v>558</v>
      </c>
      <c r="T333" t="s">
        <v>204</v>
      </c>
      <c r="U333" t="s">
        <v>42</v>
      </c>
      <c r="V333" t="s">
        <v>42</v>
      </c>
      <c r="W333" s="8" t="s">
        <v>50</v>
      </c>
      <c r="X333" t="s">
        <v>316</v>
      </c>
      <c r="Y333" s="8">
        <v>1</v>
      </c>
      <c r="Z333">
        <v>0</v>
      </c>
      <c r="AA333">
        <v>0</v>
      </c>
      <c r="AB333">
        <v>0</v>
      </c>
      <c r="AC333" s="5">
        <v>2018</v>
      </c>
      <c r="AD333" s="1">
        <v>2021</v>
      </c>
      <c r="AE333" s="6">
        <f t="shared" si="8"/>
        <v>3</v>
      </c>
      <c r="AF333">
        <v>3</v>
      </c>
      <c r="AG333" t="s">
        <v>64</v>
      </c>
      <c r="AH333" s="1" t="s">
        <v>64</v>
      </c>
    </row>
    <row r="334" spans="1:35" s="9" customFormat="1" ht="15" customHeight="1">
      <c r="A334" s="9" t="s">
        <v>550</v>
      </c>
      <c r="B334" s="9" t="s">
        <v>551</v>
      </c>
      <c r="C334" s="25">
        <v>6</v>
      </c>
      <c r="D334" s="9" t="s">
        <v>38</v>
      </c>
      <c r="E334" s="9" t="s">
        <v>38</v>
      </c>
      <c r="F334" s="9" t="s">
        <v>39</v>
      </c>
      <c r="G334" s="9" t="s">
        <v>40</v>
      </c>
      <c r="H334" s="9" t="s">
        <v>309</v>
      </c>
      <c r="I334" s="9" t="s">
        <v>310</v>
      </c>
      <c r="J334" s="9" t="s">
        <v>42</v>
      </c>
      <c r="K334" s="9" t="s">
        <v>42</v>
      </c>
      <c r="L334" s="9" t="s">
        <v>42</v>
      </c>
      <c r="M334" s="10" t="s">
        <v>42</v>
      </c>
      <c r="N334" s="39" t="s">
        <v>269</v>
      </c>
      <c r="O334" s="9" t="s">
        <v>44</v>
      </c>
      <c r="P334" s="40" t="s">
        <v>325</v>
      </c>
      <c r="Q334" s="9" t="s">
        <v>77</v>
      </c>
      <c r="R334" s="9" t="s">
        <v>42</v>
      </c>
      <c r="S334" s="9" t="s">
        <v>559</v>
      </c>
      <c r="T334" s="9" t="s">
        <v>204</v>
      </c>
      <c r="U334" s="9" t="s">
        <v>42</v>
      </c>
      <c r="V334" s="9" t="s">
        <v>42</v>
      </c>
      <c r="W334" s="11" t="s">
        <v>50</v>
      </c>
      <c r="X334" s="9" t="s">
        <v>553</v>
      </c>
      <c r="Y334" s="11">
        <v>1</v>
      </c>
      <c r="Z334" s="9">
        <v>0</v>
      </c>
      <c r="AA334" s="9">
        <v>0</v>
      </c>
      <c r="AB334" s="9">
        <v>0</v>
      </c>
      <c r="AC334" s="12">
        <v>2018</v>
      </c>
      <c r="AD334" s="10">
        <v>2021</v>
      </c>
      <c r="AE334" s="13">
        <f t="shared" si="8"/>
        <v>3</v>
      </c>
      <c r="AF334" s="9">
        <v>3</v>
      </c>
      <c r="AG334" s="9" t="s">
        <v>64</v>
      </c>
      <c r="AH334" s="10" t="s">
        <v>64</v>
      </c>
      <c r="AI334" s="10"/>
    </row>
    <row r="335" spans="1:35" ht="15" customHeight="1">
      <c r="A335" t="s">
        <v>560</v>
      </c>
      <c r="B335" t="s">
        <v>561</v>
      </c>
      <c r="C335" s="1">
        <v>1</v>
      </c>
      <c r="D335" t="s">
        <v>38</v>
      </c>
      <c r="E335" t="s">
        <v>38</v>
      </c>
      <c r="F335" t="s">
        <v>39</v>
      </c>
      <c r="G335" t="s">
        <v>40</v>
      </c>
      <c r="H335" t="s">
        <v>41</v>
      </c>
      <c r="I335" t="s">
        <v>42</v>
      </c>
      <c r="J335" t="s">
        <v>42</v>
      </c>
      <c r="K335" t="s">
        <v>42</v>
      </c>
      <c r="L335" t="s">
        <v>42</v>
      </c>
      <c r="M335" s="1" t="s">
        <v>42</v>
      </c>
      <c r="N335" s="39" t="s">
        <v>57</v>
      </c>
      <c r="O335" t="s">
        <v>44</v>
      </c>
      <c r="P335" s="39" t="s">
        <v>57</v>
      </c>
      <c r="Q335" t="s">
        <v>77</v>
      </c>
      <c r="R335" t="s">
        <v>42</v>
      </c>
      <c r="S335" t="s">
        <v>562</v>
      </c>
      <c r="T335" t="s">
        <v>96</v>
      </c>
      <c r="U335" t="s">
        <v>42</v>
      </c>
      <c r="V335" t="s">
        <v>42</v>
      </c>
      <c r="W335" s="8" t="s">
        <v>50</v>
      </c>
      <c r="X335" t="s">
        <v>563</v>
      </c>
      <c r="Y335" s="8">
        <v>0</v>
      </c>
      <c r="Z335">
        <v>4</v>
      </c>
      <c r="AA335">
        <v>4</v>
      </c>
      <c r="AB335">
        <v>0</v>
      </c>
      <c r="AC335" s="5">
        <v>2013</v>
      </c>
      <c r="AD335" s="1">
        <v>2014</v>
      </c>
      <c r="AE335" s="6">
        <v>1</v>
      </c>
      <c r="AF335">
        <v>1</v>
      </c>
      <c r="AG335" t="s">
        <v>64</v>
      </c>
      <c r="AH335" s="1" t="s">
        <v>64</v>
      </c>
    </row>
    <row r="336" spans="1:35" ht="15" customHeight="1">
      <c r="A336" t="s">
        <v>560</v>
      </c>
      <c r="B336" t="s">
        <v>561</v>
      </c>
      <c r="C336" s="1">
        <v>2</v>
      </c>
      <c r="D336" t="s">
        <v>38</v>
      </c>
      <c r="E336" t="s">
        <v>38</v>
      </c>
      <c r="F336" t="s">
        <v>39</v>
      </c>
      <c r="G336" t="s">
        <v>40</v>
      </c>
      <c r="H336" t="s">
        <v>41</v>
      </c>
      <c r="I336" t="s">
        <v>42</v>
      </c>
      <c r="J336" t="s">
        <v>42</v>
      </c>
      <c r="K336" t="s">
        <v>42</v>
      </c>
      <c r="L336" t="s">
        <v>42</v>
      </c>
      <c r="M336" s="1" t="s">
        <v>42</v>
      </c>
      <c r="N336" s="39" t="s">
        <v>52</v>
      </c>
      <c r="O336" t="s">
        <v>44</v>
      </c>
      <c r="P336" s="39" t="s">
        <v>52</v>
      </c>
      <c r="Q336" t="s">
        <v>46</v>
      </c>
      <c r="R336" t="s">
        <v>68</v>
      </c>
      <c r="S336" t="s">
        <v>69</v>
      </c>
      <c r="T336" t="s">
        <v>96</v>
      </c>
      <c r="U336" t="s">
        <v>42</v>
      </c>
      <c r="V336" t="s">
        <v>42</v>
      </c>
      <c r="W336" s="8" t="s">
        <v>50</v>
      </c>
      <c r="X336" t="s">
        <v>563</v>
      </c>
      <c r="Y336" s="8">
        <v>0</v>
      </c>
      <c r="Z336">
        <v>4</v>
      </c>
      <c r="AA336">
        <v>4</v>
      </c>
      <c r="AB336">
        <v>0</v>
      </c>
      <c r="AC336" s="5">
        <v>2013</v>
      </c>
      <c r="AD336" s="1">
        <v>2014</v>
      </c>
      <c r="AE336" s="6">
        <v>1</v>
      </c>
      <c r="AF336">
        <v>1</v>
      </c>
      <c r="AG336" t="s">
        <v>64</v>
      </c>
      <c r="AH336" s="1" t="s">
        <v>64</v>
      </c>
    </row>
    <row r="337" spans="1:34" ht="15" customHeight="1">
      <c r="A337" t="s">
        <v>560</v>
      </c>
      <c r="B337" t="s">
        <v>561</v>
      </c>
      <c r="C337" s="1">
        <v>3</v>
      </c>
      <c r="D337" t="s">
        <v>38</v>
      </c>
      <c r="E337" t="s">
        <v>38</v>
      </c>
      <c r="F337" t="s">
        <v>39</v>
      </c>
      <c r="G337" t="s">
        <v>40</v>
      </c>
      <c r="H337" t="s">
        <v>41</v>
      </c>
      <c r="I337" t="s">
        <v>42</v>
      </c>
      <c r="J337" t="s">
        <v>42</v>
      </c>
      <c r="K337" t="s">
        <v>42</v>
      </c>
      <c r="L337" t="s">
        <v>42</v>
      </c>
      <c r="M337" s="1" t="s">
        <v>42</v>
      </c>
      <c r="N337" s="39" t="s">
        <v>52</v>
      </c>
      <c r="O337" t="s">
        <v>44</v>
      </c>
      <c r="P337" s="39" t="s">
        <v>564</v>
      </c>
      <c r="Q337" t="s">
        <v>46</v>
      </c>
      <c r="R337" t="s">
        <v>68</v>
      </c>
      <c r="S337" t="s">
        <v>565</v>
      </c>
      <c r="T337" t="s">
        <v>96</v>
      </c>
      <c r="U337" t="s">
        <v>42</v>
      </c>
      <c r="V337" t="s">
        <v>563</v>
      </c>
      <c r="W337" s="8" t="s">
        <v>50</v>
      </c>
      <c r="X337" t="s">
        <v>563</v>
      </c>
      <c r="Y337" s="8">
        <v>0</v>
      </c>
      <c r="Z337">
        <v>4</v>
      </c>
      <c r="AA337">
        <v>4</v>
      </c>
      <c r="AB337">
        <v>0</v>
      </c>
      <c r="AC337" s="5">
        <v>2013</v>
      </c>
      <c r="AD337" s="1">
        <v>2014</v>
      </c>
      <c r="AE337" s="6">
        <v>1</v>
      </c>
      <c r="AF337">
        <v>1</v>
      </c>
      <c r="AG337" t="s">
        <v>64</v>
      </c>
      <c r="AH337" s="1" t="s">
        <v>64</v>
      </c>
    </row>
    <row r="338" spans="1:34" ht="15" customHeight="1">
      <c r="A338" t="s">
        <v>560</v>
      </c>
      <c r="B338" t="s">
        <v>561</v>
      </c>
      <c r="C338" s="1">
        <v>4</v>
      </c>
      <c r="D338" t="s">
        <v>38</v>
      </c>
      <c r="E338" t="s">
        <v>38</v>
      </c>
      <c r="F338" t="s">
        <v>39</v>
      </c>
      <c r="G338" t="s">
        <v>40</v>
      </c>
      <c r="H338" t="s">
        <v>41</v>
      </c>
      <c r="I338" t="s">
        <v>42</v>
      </c>
      <c r="J338" t="s">
        <v>42</v>
      </c>
      <c r="K338" t="s">
        <v>42</v>
      </c>
      <c r="L338" t="s">
        <v>42</v>
      </c>
      <c r="M338" s="1" t="s">
        <v>42</v>
      </c>
      <c r="N338" s="39" t="s">
        <v>52</v>
      </c>
      <c r="O338" t="s">
        <v>44</v>
      </c>
      <c r="P338" s="39" t="s">
        <v>52</v>
      </c>
      <c r="Q338" t="s">
        <v>566</v>
      </c>
      <c r="R338" t="s">
        <v>42</v>
      </c>
      <c r="S338" t="s">
        <v>69</v>
      </c>
      <c r="T338" t="s">
        <v>567</v>
      </c>
      <c r="U338" t="s">
        <v>42</v>
      </c>
      <c r="V338" t="s">
        <v>563</v>
      </c>
      <c r="W338" s="8" t="s">
        <v>50</v>
      </c>
      <c r="X338" t="s">
        <v>347</v>
      </c>
      <c r="Y338" s="8">
        <v>0</v>
      </c>
      <c r="Z338">
        <v>4</v>
      </c>
      <c r="AA338">
        <v>4</v>
      </c>
      <c r="AB338">
        <v>0</v>
      </c>
      <c r="AC338" s="5">
        <v>2013</v>
      </c>
      <c r="AD338" s="1">
        <v>2014</v>
      </c>
      <c r="AE338" s="6">
        <v>1</v>
      </c>
      <c r="AF338">
        <v>1</v>
      </c>
      <c r="AG338" t="s">
        <v>64</v>
      </c>
      <c r="AH338" s="1" t="s">
        <v>64</v>
      </c>
    </row>
    <row r="339" spans="1:34" ht="15" customHeight="1">
      <c r="A339" t="s">
        <v>560</v>
      </c>
      <c r="B339" t="s">
        <v>561</v>
      </c>
      <c r="C339" s="1">
        <v>5</v>
      </c>
      <c r="D339" t="s">
        <v>38</v>
      </c>
      <c r="E339" t="s">
        <v>38</v>
      </c>
      <c r="F339" t="s">
        <v>39</v>
      </c>
      <c r="G339" t="s">
        <v>40</v>
      </c>
      <c r="H339" t="s">
        <v>41</v>
      </c>
      <c r="I339" t="s">
        <v>42</v>
      </c>
      <c r="J339" t="s">
        <v>42</v>
      </c>
      <c r="K339" t="s">
        <v>42</v>
      </c>
      <c r="L339" t="s">
        <v>42</v>
      </c>
      <c r="M339" s="1" t="s">
        <v>42</v>
      </c>
      <c r="N339" s="39" t="s">
        <v>132</v>
      </c>
      <c r="O339" t="s">
        <v>44</v>
      </c>
      <c r="P339" s="39" t="s">
        <v>132</v>
      </c>
      <c r="Q339" t="s">
        <v>568</v>
      </c>
      <c r="R339" t="s">
        <v>42</v>
      </c>
      <c r="S339" t="s">
        <v>181</v>
      </c>
      <c r="T339" t="s">
        <v>96</v>
      </c>
      <c r="U339" t="s">
        <v>42</v>
      </c>
      <c r="V339" t="s">
        <v>42</v>
      </c>
      <c r="W339" s="8" t="s">
        <v>50</v>
      </c>
      <c r="X339" t="s">
        <v>347</v>
      </c>
      <c r="Y339" s="8">
        <v>0</v>
      </c>
      <c r="Z339">
        <v>4</v>
      </c>
      <c r="AA339">
        <v>4</v>
      </c>
      <c r="AB339">
        <v>0</v>
      </c>
      <c r="AC339" s="5">
        <v>2013</v>
      </c>
      <c r="AD339" s="1">
        <v>2014</v>
      </c>
      <c r="AE339" s="6">
        <v>1</v>
      </c>
      <c r="AF339">
        <v>1</v>
      </c>
      <c r="AG339" t="s">
        <v>64</v>
      </c>
      <c r="AH339" s="1" t="s">
        <v>64</v>
      </c>
    </row>
    <row r="340" spans="1:34" ht="15" customHeight="1">
      <c r="A340" t="s">
        <v>560</v>
      </c>
      <c r="B340" t="s">
        <v>561</v>
      </c>
      <c r="C340" s="1">
        <v>6</v>
      </c>
      <c r="D340" t="s">
        <v>38</v>
      </c>
      <c r="E340" t="s">
        <v>38</v>
      </c>
      <c r="F340" t="s">
        <v>39</v>
      </c>
      <c r="G340" t="s">
        <v>40</v>
      </c>
      <c r="H340" t="s">
        <v>41</v>
      </c>
      <c r="I340" t="s">
        <v>42</v>
      </c>
      <c r="J340" t="s">
        <v>42</v>
      </c>
      <c r="K340" t="s">
        <v>42</v>
      </c>
      <c r="L340" t="s">
        <v>42</v>
      </c>
      <c r="M340" s="1" t="s">
        <v>42</v>
      </c>
      <c r="N340" s="39" t="s">
        <v>132</v>
      </c>
      <c r="O340" t="s">
        <v>44</v>
      </c>
      <c r="P340" s="39" t="s">
        <v>132</v>
      </c>
      <c r="Q340" t="s">
        <v>569</v>
      </c>
      <c r="R340" t="s">
        <v>42</v>
      </c>
      <c r="S340" t="s">
        <v>181</v>
      </c>
      <c r="T340" t="s">
        <v>96</v>
      </c>
      <c r="U340" t="s">
        <v>42</v>
      </c>
      <c r="V340" t="s">
        <v>42</v>
      </c>
      <c r="W340" s="8" t="s">
        <v>50</v>
      </c>
      <c r="X340" t="s">
        <v>347</v>
      </c>
      <c r="Y340" s="8">
        <v>0</v>
      </c>
      <c r="Z340">
        <v>4</v>
      </c>
      <c r="AA340">
        <v>4</v>
      </c>
      <c r="AB340">
        <v>0</v>
      </c>
      <c r="AC340" s="5">
        <v>2013</v>
      </c>
      <c r="AD340" s="1">
        <v>2014</v>
      </c>
      <c r="AE340" s="6">
        <v>1</v>
      </c>
      <c r="AF340">
        <v>1</v>
      </c>
      <c r="AG340" t="s">
        <v>64</v>
      </c>
      <c r="AH340" s="1" t="s">
        <v>64</v>
      </c>
    </row>
    <row r="341" spans="1:34" ht="15" customHeight="1">
      <c r="A341" t="s">
        <v>560</v>
      </c>
      <c r="B341" t="s">
        <v>561</v>
      </c>
      <c r="C341" s="1">
        <v>7</v>
      </c>
      <c r="D341" t="s">
        <v>38</v>
      </c>
      <c r="E341" t="s">
        <v>38</v>
      </c>
      <c r="F341" t="s">
        <v>39</v>
      </c>
      <c r="G341" t="s">
        <v>40</v>
      </c>
      <c r="H341" t="s">
        <v>41</v>
      </c>
      <c r="I341" t="s">
        <v>42</v>
      </c>
      <c r="J341" t="s">
        <v>42</v>
      </c>
      <c r="K341" t="s">
        <v>42</v>
      </c>
      <c r="L341" t="s">
        <v>42</v>
      </c>
      <c r="M341" s="1" t="s">
        <v>42</v>
      </c>
      <c r="N341" s="39" t="s">
        <v>132</v>
      </c>
      <c r="O341" t="s">
        <v>44</v>
      </c>
      <c r="P341" s="39" t="s">
        <v>132</v>
      </c>
      <c r="Q341" t="s">
        <v>570</v>
      </c>
      <c r="R341" t="s">
        <v>42</v>
      </c>
      <c r="S341" t="s">
        <v>181</v>
      </c>
      <c r="T341" t="s">
        <v>96</v>
      </c>
      <c r="U341" t="s">
        <v>42</v>
      </c>
      <c r="V341" t="s">
        <v>42</v>
      </c>
      <c r="W341" s="8" t="s">
        <v>50</v>
      </c>
      <c r="X341" t="s">
        <v>347</v>
      </c>
      <c r="Y341" s="8">
        <v>0</v>
      </c>
      <c r="Z341">
        <v>4</v>
      </c>
      <c r="AA341">
        <v>4</v>
      </c>
      <c r="AB341">
        <v>0</v>
      </c>
      <c r="AC341" s="5">
        <v>2013</v>
      </c>
      <c r="AD341" s="1">
        <v>2014</v>
      </c>
      <c r="AE341" s="6">
        <v>1</v>
      </c>
      <c r="AF341">
        <v>1</v>
      </c>
      <c r="AG341" t="s">
        <v>64</v>
      </c>
      <c r="AH341" s="1" t="s">
        <v>64</v>
      </c>
    </row>
    <row r="342" spans="1:34" ht="15" customHeight="1">
      <c r="A342" t="s">
        <v>560</v>
      </c>
      <c r="B342" t="s">
        <v>561</v>
      </c>
      <c r="C342" s="1">
        <v>8</v>
      </c>
      <c r="D342" t="s">
        <v>38</v>
      </c>
      <c r="E342" t="s">
        <v>38</v>
      </c>
      <c r="F342" t="s">
        <v>39</v>
      </c>
      <c r="G342" t="s">
        <v>40</v>
      </c>
      <c r="H342" t="s">
        <v>41</v>
      </c>
      <c r="I342" t="s">
        <v>42</v>
      </c>
      <c r="J342" t="s">
        <v>42</v>
      </c>
      <c r="K342" t="s">
        <v>42</v>
      </c>
      <c r="L342" t="s">
        <v>42</v>
      </c>
      <c r="M342" s="1" t="s">
        <v>42</v>
      </c>
      <c r="N342" s="39" t="s">
        <v>79</v>
      </c>
      <c r="O342" t="s">
        <v>44</v>
      </c>
      <c r="P342" s="39" t="s">
        <v>201</v>
      </c>
      <c r="Q342" t="s">
        <v>571</v>
      </c>
      <c r="R342" t="s">
        <v>42</v>
      </c>
      <c r="S342" t="s">
        <v>202</v>
      </c>
      <c r="T342" t="s">
        <v>96</v>
      </c>
      <c r="U342" t="s">
        <v>42</v>
      </c>
      <c r="V342" t="s">
        <v>42</v>
      </c>
      <c r="W342" s="8" t="s">
        <v>50</v>
      </c>
      <c r="X342" t="s">
        <v>347</v>
      </c>
      <c r="Y342" s="8">
        <v>0</v>
      </c>
      <c r="Z342">
        <v>4</v>
      </c>
      <c r="AA342">
        <v>4</v>
      </c>
      <c r="AB342">
        <v>0</v>
      </c>
      <c r="AC342" s="5">
        <v>2013</v>
      </c>
      <c r="AD342" s="1">
        <v>2014</v>
      </c>
      <c r="AE342" s="6">
        <v>1</v>
      </c>
      <c r="AF342">
        <v>1</v>
      </c>
      <c r="AG342" t="s">
        <v>64</v>
      </c>
      <c r="AH342" s="1" t="s">
        <v>64</v>
      </c>
    </row>
    <row r="343" spans="1:34" s="9" customFormat="1" ht="15" customHeight="1">
      <c r="A343" s="9" t="s">
        <v>560</v>
      </c>
      <c r="B343" s="9" t="s">
        <v>561</v>
      </c>
      <c r="C343" s="10">
        <v>9</v>
      </c>
      <c r="D343" s="9" t="s">
        <v>38</v>
      </c>
      <c r="E343" s="9" t="s">
        <v>38</v>
      </c>
      <c r="F343" s="9" t="s">
        <v>39</v>
      </c>
      <c r="G343" s="9" t="s">
        <v>40</v>
      </c>
      <c r="H343" s="9" t="s">
        <v>41</v>
      </c>
      <c r="I343" s="9" t="s">
        <v>42</v>
      </c>
      <c r="J343" s="9" t="s">
        <v>42</v>
      </c>
      <c r="K343" s="9" t="s">
        <v>42</v>
      </c>
      <c r="L343" s="9" t="s">
        <v>42</v>
      </c>
      <c r="M343" s="10" t="s">
        <v>42</v>
      </c>
      <c r="N343" s="40" t="s">
        <v>43</v>
      </c>
      <c r="O343" s="9" t="s">
        <v>44</v>
      </c>
      <c r="P343" s="40" t="s">
        <v>43</v>
      </c>
      <c r="Q343" s="9" t="s">
        <v>46</v>
      </c>
      <c r="R343" s="9" t="s">
        <v>68</v>
      </c>
      <c r="S343" s="9" t="s">
        <v>48</v>
      </c>
      <c r="T343" s="9" t="s">
        <v>96</v>
      </c>
      <c r="U343" s="9" t="s">
        <v>42</v>
      </c>
      <c r="V343" s="9" t="s">
        <v>42</v>
      </c>
      <c r="W343" s="11" t="s">
        <v>50</v>
      </c>
      <c r="X343" s="9" t="s">
        <v>572</v>
      </c>
      <c r="Y343" s="11">
        <v>0</v>
      </c>
      <c r="Z343" s="9">
        <v>4</v>
      </c>
      <c r="AA343" s="9">
        <v>4</v>
      </c>
      <c r="AB343" s="9">
        <v>0</v>
      </c>
      <c r="AC343" s="12">
        <v>2013</v>
      </c>
      <c r="AD343" s="10">
        <v>2014</v>
      </c>
      <c r="AE343" s="13">
        <v>1</v>
      </c>
      <c r="AF343" s="9">
        <v>1</v>
      </c>
      <c r="AG343" s="9" t="s">
        <v>64</v>
      </c>
      <c r="AH343" s="10" t="s">
        <v>64</v>
      </c>
    </row>
    <row r="344" spans="1:34" ht="15" customHeight="1">
      <c r="A344" t="s">
        <v>573</v>
      </c>
      <c r="B344" t="s">
        <v>574</v>
      </c>
      <c r="C344" s="24">
        <v>1</v>
      </c>
      <c r="D344" t="s">
        <v>38</v>
      </c>
      <c r="E344" t="s">
        <v>38</v>
      </c>
      <c r="F344" t="s">
        <v>39</v>
      </c>
      <c r="G344" t="s">
        <v>40</v>
      </c>
      <c r="H344" t="s">
        <v>41</v>
      </c>
      <c r="I344" t="s">
        <v>42</v>
      </c>
      <c r="J344" t="s">
        <v>42</v>
      </c>
      <c r="K344" t="s">
        <v>42</v>
      </c>
      <c r="L344" t="s">
        <v>42</v>
      </c>
      <c r="M344" t="s">
        <v>42</v>
      </c>
      <c r="N344" s="39" t="s">
        <v>52</v>
      </c>
      <c r="O344" t="s">
        <v>86</v>
      </c>
      <c r="P344" s="39" t="s">
        <v>52</v>
      </c>
      <c r="Q344" t="s">
        <v>46</v>
      </c>
      <c r="R344" t="s">
        <v>575</v>
      </c>
      <c r="S344" t="s">
        <v>69</v>
      </c>
      <c r="T344" t="s">
        <v>42</v>
      </c>
      <c r="U344" t="s">
        <v>42</v>
      </c>
      <c r="V344" t="s">
        <v>42</v>
      </c>
      <c r="W344" s="8" t="s">
        <v>64</v>
      </c>
      <c r="X344" t="s">
        <v>42</v>
      </c>
      <c r="Y344" s="8">
        <v>0</v>
      </c>
      <c r="Z344">
        <v>0</v>
      </c>
      <c r="AA344">
        <v>0</v>
      </c>
      <c r="AB344">
        <v>3</v>
      </c>
      <c r="AC344" s="5">
        <v>2005</v>
      </c>
      <c r="AD344" s="1">
        <v>2007</v>
      </c>
      <c r="AE344" s="6">
        <v>2</v>
      </c>
      <c r="AF344">
        <v>4</v>
      </c>
      <c r="AG344" t="s">
        <v>64</v>
      </c>
      <c r="AH344" t="s">
        <v>64</v>
      </c>
    </row>
    <row r="345" spans="1:34" ht="15" customHeight="1">
      <c r="A345" t="s">
        <v>573</v>
      </c>
      <c r="B345" t="s">
        <v>574</v>
      </c>
      <c r="C345" s="24">
        <v>2</v>
      </c>
      <c r="D345" t="s">
        <v>38</v>
      </c>
      <c r="E345" t="s">
        <v>38</v>
      </c>
      <c r="F345" t="s">
        <v>39</v>
      </c>
      <c r="G345" t="s">
        <v>40</v>
      </c>
      <c r="H345" t="s">
        <v>41</v>
      </c>
      <c r="I345" t="s">
        <v>42</v>
      </c>
      <c r="J345" t="s">
        <v>42</v>
      </c>
      <c r="K345" t="s">
        <v>42</v>
      </c>
      <c r="L345" t="s">
        <v>42</v>
      </c>
      <c r="M345" t="s">
        <v>42</v>
      </c>
      <c r="N345" s="39" t="s">
        <v>43</v>
      </c>
      <c r="O345" t="s">
        <v>86</v>
      </c>
      <c r="P345" s="39" t="s">
        <v>43</v>
      </c>
      <c r="Q345" t="s">
        <v>46</v>
      </c>
      <c r="R345" t="s">
        <v>575</v>
      </c>
      <c r="S345" t="s">
        <v>341</v>
      </c>
      <c r="T345" t="s">
        <v>42</v>
      </c>
      <c r="U345" t="s">
        <v>42</v>
      </c>
      <c r="V345" t="s">
        <v>42</v>
      </c>
      <c r="W345" s="8" t="s">
        <v>64</v>
      </c>
      <c r="X345" t="s">
        <v>42</v>
      </c>
      <c r="Y345" s="8">
        <v>0</v>
      </c>
      <c r="Z345">
        <v>0</v>
      </c>
      <c r="AA345">
        <v>0</v>
      </c>
      <c r="AB345">
        <v>3</v>
      </c>
      <c r="AC345" s="5">
        <v>2005</v>
      </c>
      <c r="AD345" s="1">
        <v>2007</v>
      </c>
      <c r="AE345" s="6">
        <v>2</v>
      </c>
      <c r="AF345">
        <v>4</v>
      </c>
      <c r="AG345" t="s">
        <v>64</v>
      </c>
      <c r="AH345" t="s">
        <v>64</v>
      </c>
    </row>
    <row r="346" spans="1:34" ht="15" customHeight="1">
      <c r="A346" t="s">
        <v>573</v>
      </c>
      <c r="B346" t="s">
        <v>574</v>
      </c>
      <c r="C346" s="24">
        <v>3</v>
      </c>
      <c r="D346" t="s">
        <v>38</v>
      </c>
      <c r="E346" t="s">
        <v>38</v>
      </c>
      <c r="F346" t="s">
        <v>39</v>
      </c>
      <c r="G346" t="s">
        <v>40</v>
      </c>
      <c r="H346" t="s">
        <v>41</v>
      </c>
      <c r="I346" t="s">
        <v>42</v>
      </c>
      <c r="J346" t="s">
        <v>42</v>
      </c>
      <c r="K346" t="s">
        <v>42</v>
      </c>
      <c r="L346" t="s">
        <v>42</v>
      </c>
      <c r="M346" t="s">
        <v>42</v>
      </c>
      <c r="N346" s="39" t="s">
        <v>132</v>
      </c>
      <c r="O346" t="s">
        <v>86</v>
      </c>
      <c r="P346" s="39" t="s">
        <v>132</v>
      </c>
      <c r="Q346" t="s">
        <v>576</v>
      </c>
      <c r="R346" t="s">
        <v>42</v>
      </c>
      <c r="S346" t="s">
        <v>88</v>
      </c>
      <c r="T346" t="s">
        <v>577</v>
      </c>
      <c r="U346" t="s">
        <v>42</v>
      </c>
      <c r="V346" t="s">
        <v>42</v>
      </c>
      <c r="W346" s="8" t="s">
        <v>64</v>
      </c>
      <c r="X346" t="s">
        <v>42</v>
      </c>
      <c r="Y346" s="8">
        <v>0</v>
      </c>
      <c r="Z346">
        <v>0</v>
      </c>
      <c r="AA346">
        <v>0</v>
      </c>
      <c r="AB346">
        <v>3</v>
      </c>
      <c r="AC346" s="5">
        <v>2005</v>
      </c>
      <c r="AD346" s="1">
        <v>2007</v>
      </c>
      <c r="AE346" s="6">
        <v>2</v>
      </c>
      <c r="AF346">
        <v>4</v>
      </c>
      <c r="AG346" t="s">
        <v>64</v>
      </c>
      <c r="AH346" t="s">
        <v>64</v>
      </c>
    </row>
    <row r="347" spans="1:34" ht="15" customHeight="1">
      <c r="A347" t="s">
        <v>573</v>
      </c>
      <c r="B347" t="s">
        <v>574</v>
      </c>
      <c r="C347" s="24">
        <v>4</v>
      </c>
      <c r="D347" t="s">
        <v>38</v>
      </c>
      <c r="E347" t="s">
        <v>38</v>
      </c>
      <c r="F347" t="s">
        <v>39</v>
      </c>
      <c r="G347" t="s">
        <v>40</v>
      </c>
      <c r="H347" t="s">
        <v>41</v>
      </c>
      <c r="I347" t="s">
        <v>42</v>
      </c>
      <c r="J347" t="s">
        <v>42</v>
      </c>
      <c r="K347" t="s">
        <v>42</v>
      </c>
      <c r="L347" t="s">
        <v>42</v>
      </c>
      <c r="M347" t="s">
        <v>42</v>
      </c>
      <c r="N347" s="39" t="s">
        <v>52</v>
      </c>
      <c r="O347" t="s">
        <v>86</v>
      </c>
      <c r="P347" s="39" t="s">
        <v>52</v>
      </c>
      <c r="Q347" t="s">
        <v>578</v>
      </c>
      <c r="R347" t="s">
        <v>579</v>
      </c>
      <c r="S347" t="s">
        <v>69</v>
      </c>
      <c r="T347" t="s">
        <v>577</v>
      </c>
      <c r="U347" t="s">
        <v>42</v>
      </c>
      <c r="V347" t="s">
        <v>42</v>
      </c>
      <c r="W347" s="8" t="s">
        <v>64</v>
      </c>
      <c r="X347" t="s">
        <v>42</v>
      </c>
      <c r="Y347" s="8">
        <v>0</v>
      </c>
      <c r="Z347">
        <v>0</v>
      </c>
      <c r="AA347">
        <v>0</v>
      </c>
      <c r="AB347">
        <v>3</v>
      </c>
      <c r="AC347" s="5">
        <v>2005</v>
      </c>
      <c r="AD347" s="1">
        <v>2007</v>
      </c>
      <c r="AE347" s="6">
        <v>2</v>
      </c>
      <c r="AF347">
        <v>4</v>
      </c>
      <c r="AG347" t="s">
        <v>64</v>
      </c>
      <c r="AH347" t="s">
        <v>64</v>
      </c>
    </row>
    <row r="348" spans="1:34" ht="15" customHeight="1">
      <c r="A348" t="s">
        <v>573</v>
      </c>
      <c r="B348" t="s">
        <v>574</v>
      </c>
      <c r="C348" s="24">
        <v>5</v>
      </c>
      <c r="D348" t="s">
        <v>38</v>
      </c>
      <c r="E348" t="s">
        <v>38</v>
      </c>
      <c r="F348" t="s">
        <v>39</v>
      </c>
      <c r="G348" t="s">
        <v>40</v>
      </c>
      <c r="H348" t="s">
        <v>41</v>
      </c>
      <c r="I348" t="s">
        <v>42</v>
      </c>
      <c r="J348" t="s">
        <v>42</v>
      </c>
      <c r="K348" t="s">
        <v>42</v>
      </c>
      <c r="L348" t="s">
        <v>42</v>
      </c>
      <c r="M348" t="s">
        <v>42</v>
      </c>
      <c r="N348" s="39" t="s">
        <v>52</v>
      </c>
      <c r="O348" t="s">
        <v>86</v>
      </c>
      <c r="P348" s="39" t="s">
        <v>52</v>
      </c>
      <c r="Q348" t="s">
        <v>94</v>
      </c>
      <c r="R348" t="s">
        <v>113</v>
      </c>
      <c r="S348" t="s">
        <v>69</v>
      </c>
      <c r="T348" t="s">
        <v>577</v>
      </c>
      <c r="U348" t="s">
        <v>42</v>
      </c>
      <c r="V348" t="s">
        <v>42</v>
      </c>
      <c r="W348" s="8" t="s">
        <v>64</v>
      </c>
      <c r="X348" t="s">
        <v>42</v>
      </c>
      <c r="Y348" s="8">
        <v>0</v>
      </c>
      <c r="Z348">
        <v>0</v>
      </c>
      <c r="AA348">
        <v>0</v>
      </c>
      <c r="AB348">
        <v>3</v>
      </c>
      <c r="AC348" s="5">
        <v>2005</v>
      </c>
      <c r="AD348" s="1">
        <v>2007</v>
      </c>
      <c r="AE348" s="6">
        <v>2</v>
      </c>
      <c r="AF348">
        <v>4</v>
      </c>
      <c r="AG348" t="s">
        <v>64</v>
      </c>
      <c r="AH348" t="s">
        <v>64</v>
      </c>
    </row>
    <row r="349" spans="1:34" ht="15" customHeight="1">
      <c r="A349" t="s">
        <v>573</v>
      </c>
      <c r="B349" t="s">
        <v>574</v>
      </c>
      <c r="C349" s="24">
        <v>6</v>
      </c>
      <c r="D349" t="s">
        <v>38</v>
      </c>
      <c r="E349" t="s">
        <v>38</v>
      </c>
      <c r="F349" t="s">
        <v>39</v>
      </c>
      <c r="G349" t="s">
        <v>40</v>
      </c>
      <c r="H349" t="s">
        <v>41</v>
      </c>
      <c r="I349" t="s">
        <v>42</v>
      </c>
      <c r="J349" t="s">
        <v>42</v>
      </c>
      <c r="K349" t="s">
        <v>42</v>
      </c>
      <c r="L349" t="s">
        <v>42</v>
      </c>
      <c r="M349" t="s">
        <v>42</v>
      </c>
      <c r="N349" s="39" t="s">
        <v>52</v>
      </c>
      <c r="O349" t="s">
        <v>86</v>
      </c>
      <c r="P349" s="39" t="s">
        <v>52</v>
      </c>
      <c r="Q349" t="s">
        <v>102</v>
      </c>
      <c r="R349" t="s">
        <v>319</v>
      </c>
      <c r="S349" t="s">
        <v>69</v>
      </c>
      <c r="T349" t="s">
        <v>577</v>
      </c>
      <c r="U349" t="s">
        <v>42</v>
      </c>
      <c r="V349" t="s">
        <v>42</v>
      </c>
      <c r="W349" s="8" t="s">
        <v>64</v>
      </c>
      <c r="X349" t="s">
        <v>42</v>
      </c>
      <c r="Y349" s="8">
        <v>0</v>
      </c>
      <c r="Z349">
        <v>0</v>
      </c>
      <c r="AA349">
        <v>0</v>
      </c>
      <c r="AB349">
        <v>3</v>
      </c>
      <c r="AC349" s="5">
        <v>2005</v>
      </c>
      <c r="AD349" s="1">
        <v>2007</v>
      </c>
      <c r="AE349" s="6">
        <v>2</v>
      </c>
      <c r="AF349">
        <v>4</v>
      </c>
      <c r="AG349" t="s">
        <v>64</v>
      </c>
      <c r="AH349" t="s">
        <v>64</v>
      </c>
    </row>
    <row r="350" spans="1:34" ht="15" customHeight="1">
      <c r="A350" t="s">
        <v>573</v>
      </c>
      <c r="B350" t="s">
        <v>574</v>
      </c>
      <c r="C350" s="24">
        <v>7</v>
      </c>
      <c r="D350" t="s">
        <v>38</v>
      </c>
      <c r="E350" t="s">
        <v>38</v>
      </c>
      <c r="F350" t="s">
        <v>39</v>
      </c>
      <c r="G350" t="s">
        <v>40</v>
      </c>
      <c r="H350" t="s">
        <v>41</v>
      </c>
      <c r="I350" t="s">
        <v>42</v>
      </c>
      <c r="J350" t="s">
        <v>42</v>
      </c>
      <c r="K350" t="s">
        <v>42</v>
      </c>
      <c r="L350" t="s">
        <v>42</v>
      </c>
      <c r="M350" t="s">
        <v>42</v>
      </c>
      <c r="N350" s="39" t="s">
        <v>52</v>
      </c>
      <c r="O350" t="s">
        <v>86</v>
      </c>
      <c r="P350" s="39" t="s">
        <v>52</v>
      </c>
      <c r="Q350" t="s">
        <v>277</v>
      </c>
      <c r="R350" t="s">
        <v>580</v>
      </c>
      <c r="S350" t="s">
        <v>69</v>
      </c>
      <c r="T350" t="s">
        <v>577</v>
      </c>
      <c r="U350" t="s">
        <v>42</v>
      </c>
      <c r="V350" t="s">
        <v>42</v>
      </c>
      <c r="W350" s="8" t="s">
        <v>64</v>
      </c>
      <c r="X350" t="s">
        <v>42</v>
      </c>
      <c r="Y350" s="8">
        <v>0</v>
      </c>
      <c r="Z350">
        <v>0</v>
      </c>
      <c r="AA350">
        <v>0</v>
      </c>
      <c r="AB350">
        <v>3</v>
      </c>
      <c r="AC350" s="5">
        <v>2005</v>
      </c>
      <c r="AD350" s="1">
        <v>2007</v>
      </c>
      <c r="AE350" s="6">
        <v>2</v>
      </c>
      <c r="AF350">
        <v>4</v>
      </c>
      <c r="AG350" t="s">
        <v>64</v>
      </c>
      <c r="AH350" t="s">
        <v>64</v>
      </c>
    </row>
    <row r="351" spans="1:34" ht="15" customHeight="1">
      <c r="A351" t="s">
        <v>573</v>
      </c>
      <c r="B351" t="s">
        <v>574</v>
      </c>
      <c r="C351" s="24">
        <v>8</v>
      </c>
      <c r="D351" t="s">
        <v>38</v>
      </c>
      <c r="E351" t="s">
        <v>38</v>
      </c>
      <c r="F351" t="s">
        <v>39</v>
      </c>
      <c r="G351" t="s">
        <v>40</v>
      </c>
      <c r="H351" t="s">
        <v>41</v>
      </c>
      <c r="I351" t="s">
        <v>42</v>
      </c>
      <c r="J351" t="s">
        <v>42</v>
      </c>
      <c r="K351" t="s">
        <v>42</v>
      </c>
      <c r="L351" t="s">
        <v>42</v>
      </c>
      <c r="M351" t="s">
        <v>42</v>
      </c>
      <c r="N351" s="39" t="s">
        <v>52</v>
      </c>
      <c r="O351" t="s">
        <v>86</v>
      </c>
      <c r="P351" s="39" t="s">
        <v>52</v>
      </c>
      <c r="Q351" t="s">
        <v>190</v>
      </c>
      <c r="R351" t="s">
        <v>109</v>
      </c>
      <c r="S351" t="s">
        <v>69</v>
      </c>
      <c r="T351" t="s">
        <v>577</v>
      </c>
      <c r="U351" t="s">
        <v>42</v>
      </c>
      <c r="V351" t="s">
        <v>42</v>
      </c>
      <c r="W351" s="8" t="s">
        <v>64</v>
      </c>
      <c r="X351" t="s">
        <v>42</v>
      </c>
      <c r="Y351" s="8">
        <v>0</v>
      </c>
      <c r="Z351">
        <v>0</v>
      </c>
      <c r="AA351">
        <v>0</v>
      </c>
      <c r="AB351">
        <v>3</v>
      </c>
      <c r="AC351" s="5">
        <v>2005</v>
      </c>
      <c r="AD351" s="1">
        <v>2007</v>
      </c>
      <c r="AE351" s="6">
        <v>2</v>
      </c>
      <c r="AF351">
        <v>4</v>
      </c>
      <c r="AG351" t="s">
        <v>64</v>
      </c>
      <c r="AH351" t="s">
        <v>64</v>
      </c>
    </row>
    <row r="352" spans="1:34" ht="15" customHeight="1">
      <c r="A352" t="s">
        <v>573</v>
      </c>
      <c r="B352" t="s">
        <v>574</v>
      </c>
      <c r="C352" s="24">
        <v>9</v>
      </c>
      <c r="D352" t="s">
        <v>38</v>
      </c>
      <c r="E352" t="s">
        <v>38</v>
      </c>
      <c r="F352" t="s">
        <v>39</v>
      </c>
      <c r="G352" t="s">
        <v>40</v>
      </c>
      <c r="H352" t="s">
        <v>41</v>
      </c>
      <c r="I352" t="s">
        <v>42</v>
      </c>
      <c r="J352" t="s">
        <v>42</v>
      </c>
      <c r="K352" t="s">
        <v>42</v>
      </c>
      <c r="L352" t="s">
        <v>42</v>
      </c>
      <c r="M352" t="s">
        <v>42</v>
      </c>
      <c r="N352" s="39" t="s">
        <v>52</v>
      </c>
      <c r="O352" t="s">
        <v>86</v>
      </c>
      <c r="P352" s="39" t="s">
        <v>52</v>
      </c>
      <c r="Q352" t="s">
        <v>190</v>
      </c>
      <c r="R352" t="s">
        <v>361</v>
      </c>
      <c r="S352" t="s">
        <v>69</v>
      </c>
      <c r="T352" t="s">
        <v>577</v>
      </c>
      <c r="U352" t="s">
        <v>42</v>
      </c>
      <c r="V352" t="s">
        <v>42</v>
      </c>
      <c r="W352" s="8" t="s">
        <v>64</v>
      </c>
      <c r="X352" t="s">
        <v>42</v>
      </c>
      <c r="Y352" s="8">
        <v>0</v>
      </c>
      <c r="Z352">
        <v>0</v>
      </c>
      <c r="AA352">
        <v>0</v>
      </c>
      <c r="AB352">
        <v>3</v>
      </c>
      <c r="AC352" s="5">
        <v>2005</v>
      </c>
      <c r="AD352" s="1">
        <v>2007</v>
      </c>
      <c r="AE352" s="6">
        <v>2</v>
      </c>
      <c r="AF352">
        <v>4</v>
      </c>
      <c r="AG352" t="s">
        <v>64</v>
      </c>
      <c r="AH352" t="s">
        <v>64</v>
      </c>
    </row>
    <row r="353" spans="1:34" ht="15" customHeight="1">
      <c r="A353" t="s">
        <v>573</v>
      </c>
      <c r="B353" t="s">
        <v>574</v>
      </c>
      <c r="C353" s="24">
        <v>10</v>
      </c>
      <c r="D353" t="s">
        <v>38</v>
      </c>
      <c r="E353" t="s">
        <v>38</v>
      </c>
      <c r="F353" t="s">
        <v>39</v>
      </c>
      <c r="G353" t="s">
        <v>40</v>
      </c>
      <c r="H353" t="s">
        <v>41</v>
      </c>
      <c r="I353" t="s">
        <v>42</v>
      </c>
      <c r="J353" t="s">
        <v>42</v>
      </c>
      <c r="K353" t="s">
        <v>42</v>
      </c>
      <c r="L353" t="s">
        <v>42</v>
      </c>
      <c r="M353" t="s">
        <v>42</v>
      </c>
      <c r="N353" s="39" t="s">
        <v>52</v>
      </c>
      <c r="O353" t="s">
        <v>86</v>
      </c>
      <c r="P353" s="39" t="s">
        <v>52</v>
      </c>
      <c r="Q353" t="s">
        <v>190</v>
      </c>
      <c r="R353" t="s">
        <v>581</v>
      </c>
      <c r="S353" t="s">
        <v>69</v>
      </c>
      <c r="T353" t="s">
        <v>577</v>
      </c>
      <c r="U353" t="s">
        <v>42</v>
      </c>
      <c r="V353" t="s">
        <v>42</v>
      </c>
      <c r="W353" s="8" t="s">
        <v>64</v>
      </c>
      <c r="X353" t="s">
        <v>42</v>
      </c>
      <c r="Y353" s="8">
        <v>0</v>
      </c>
      <c r="Z353">
        <v>0</v>
      </c>
      <c r="AA353">
        <v>0</v>
      </c>
      <c r="AB353">
        <v>3</v>
      </c>
      <c r="AC353" s="5">
        <v>2005</v>
      </c>
      <c r="AD353" s="1">
        <v>2007</v>
      </c>
      <c r="AE353" s="6">
        <v>2</v>
      </c>
      <c r="AF353">
        <v>4</v>
      </c>
      <c r="AG353" t="s">
        <v>64</v>
      </c>
      <c r="AH353" t="s">
        <v>64</v>
      </c>
    </row>
    <row r="354" spans="1:34" ht="15" customHeight="1">
      <c r="A354" t="s">
        <v>573</v>
      </c>
      <c r="B354" t="s">
        <v>574</v>
      </c>
      <c r="C354" s="24">
        <v>11</v>
      </c>
      <c r="D354" t="s">
        <v>38</v>
      </c>
      <c r="E354" t="s">
        <v>38</v>
      </c>
      <c r="F354" t="s">
        <v>39</v>
      </c>
      <c r="G354" t="s">
        <v>40</v>
      </c>
      <c r="H354" t="s">
        <v>41</v>
      </c>
      <c r="I354" t="s">
        <v>42</v>
      </c>
      <c r="J354" t="s">
        <v>42</v>
      </c>
      <c r="K354" t="s">
        <v>42</v>
      </c>
      <c r="L354" t="s">
        <v>42</v>
      </c>
      <c r="M354" t="s">
        <v>42</v>
      </c>
      <c r="N354" s="39" t="s">
        <v>52</v>
      </c>
      <c r="O354" t="s">
        <v>86</v>
      </c>
      <c r="P354" s="39" t="s">
        <v>52</v>
      </c>
      <c r="Q354" t="s">
        <v>190</v>
      </c>
      <c r="R354" t="s">
        <v>582</v>
      </c>
      <c r="S354" t="s">
        <v>69</v>
      </c>
      <c r="T354" t="s">
        <v>577</v>
      </c>
      <c r="U354" t="s">
        <v>42</v>
      </c>
      <c r="V354" t="s">
        <v>42</v>
      </c>
      <c r="W354" s="8" t="s">
        <v>64</v>
      </c>
      <c r="X354" t="s">
        <v>42</v>
      </c>
      <c r="Y354" s="8">
        <v>0</v>
      </c>
      <c r="Z354">
        <v>0</v>
      </c>
      <c r="AA354">
        <v>0</v>
      </c>
      <c r="AB354">
        <v>3</v>
      </c>
      <c r="AC354" s="5">
        <v>2005</v>
      </c>
      <c r="AD354" s="1">
        <v>2007</v>
      </c>
      <c r="AE354" s="6">
        <v>2</v>
      </c>
      <c r="AF354">
        <v>4</v>
      </c>
      <c r="AG354" t="s">
        <v>64</v>
      </c>
      <c r="AH354" t="s">
        <v>64</v>
      </c>
    </row>
    <row r="355" spans="1:34" s="9" customFormat="1" ht="15" customHeight="1">
      <c r="A355" s="9" t="s">
        <v>573</v>
      </c>
      <c r="B355" s="9" t="s">
        <v>574</v>
      </c>
      <c r="C355" s="25">
        <v>12</v>
      </c>
      <c r="D355" s="9" t="s">
        <v>38</v>
      </c>
      <c r="E355" s="9" t="s">
        <v>38</v>
      </c>
      <c r="F355" s="9" t="s">
        <v>39</v>
      </c>
      <c r="G355" s="9" t="s">
        <v>40</v>
      </c>
      <c r="H355" s="9" t="s">
        <v>41</v>
      </c>
      <c r="I355" s="9" t="s">
        <v>42</v>
      </c>
      <c r="J355" s="9" t="s">
        <v>42</v>
      </c>
      <c r="K355" s="9" t="s">
        <v>42</v>
      </c>
      <c r="L355" s="9" t="s">
        <v>42</v>
      </c>
      <c r="M355" s="9" t="s">
        <v>42</v>
      </c>
      <c r="N355" s="40" t="s">
        <v>52</v>
      </c>
      <c r="O355" s="9" t="s">
        <v>86</v>
      </c>
      <c r="P355" s="40" t="s">
        <v>52</v>
      </c>
      <c r="Q355" s="9" t="s">
        <v>190</v>
      </c>
      <c r="R355" s="9" t="s">
        <v>583</v>
      </c>
      <c r="S355" s="9" t="s">
        <v>69</v>
      </c>
      <c r="T355" s="9" t="s">
        <v>577</v>
      </c>
      <c r="U355" s="9" t="s">
        <v>42</v>
      </c>
      <c r="V355" s="9" t="s">
        <v>42</v>
      </c>
      <c r="W355" s="11" t="s">
        <v>64</v>
      </c>
      <c r="X355" s="9" t="s">
        <v>42</v>
      </c>
      <c r="Y355" s="11">
        <v>0</v>
      </c>
      <c r="Z355" s="9">
        <v>0</v>
      </c>
      <c r="AA355" s="9">
        <v>0</v>
      </c>
      <c r="AB355" s="9">
        <v>3</v>
      </c>
      <c r="AC355" s="12">
        <v>2005</v>
      </c>
      <c r="AD355" s="10">
        <v>2007</v>
      </c>
      <c r="AE355" s="13">
        <v>2</v>
      </c>
      <c r="AF355" s="9">
        <v>4</v>
      </c>
      <c r="AG355" s="9" t="s">
        <v>64</v>
      </c>
      <c r="AH355" s="9" t="s">
        <v>64</v>
      </c>
    </row>
    <row r="356" spans="1:34" ht="15" customHeight="1">
      <c r="A356" t="s">
        <v>584</v>
      </c>
      <c r="B356" t="s">
        <v>585</v>
      </c>
      <c r="C356" s="24">
        <v>1</v>
      </c>
      <c r="D356" t="s">
        <v>397</v>
      </c>
      <c r="E356" t="s">
        <v>397</v>
      </c>
      <c r="F356" t="s">
        <v>39</v>
      </c>
      <c r="G356" t="s">
        <v>184</v>
      </c>
      <c r="H356" t="s">
        <v>428</v>
      </c>
      <c r="I356" t="s">
        <v>42</v>
      </c>
      <c r="J356" t="s">
        <v>42</v>
      </c>
      <c r="K356" t="s">
        <v>42</v>
      </c>
      <c r="L356" t="s">
        <v>42</v>
      </c>
      <c r="M356" t="s">
        <v>42</v>
      </c>
      <c r="N356" s="39" t="s">
        <v>430</v>
      </c>
      <c r="O356" t="s">
        <v>86</v>
      </c>
      <c r="P356" s="39" t="s">
        <v>436</v>
      </c>
      <c r="Q356" t="s">
        <v>42</v>
      </c>
      <c r="R356" t="s">
        <v>42</v>
      </c>
      <c r="S356" t="s">
        <v>42</v>
      </c>
      <c r="T356" t="s">
        <v>42</v>
      </c>
      <c r="U356" t="s">
        <v>586</v>
      </c>
      <c r="V356" t="s">
        <v>42</v>
      </c>
      <c r="W356" s="8" t="s">
        <v>64</v>
      </c>
      <c r="X356" t="s">
        <v>42</v>
      </c>
      <c r="Y356" s="8">
        <v>0</v>
      </c>
      <c r="Z356">
        <v>0</v>
      </c>
      <c r="AA356">
        <v>80</v>
      </c>
      <c r="AB356">
        <v>0</v>
      </c>
      <c r="AC356" s="5">
        <v>2015</v>
      </c>
      <c r="AD356" s="5">
        <v>2015</v>
      </c>
      <c r="AE356" s="6" t="s">
        <v>72</v>
      </c>
      <c r="AF356">
        <v>1</v>
      </c>
      <c r="AG356" t="s">
        <v>64</v>
      </c>
      <c r="AH356" s="1" t="s">
        <v>64</v>
      </c>
    </row>
    <row r="357" spans="1:34" s="9" customFormat="1" ht="15" customHeight="1">
      <c r="A357" s="9" t="s">
        <v>584</v>
      </c>
      <c r="B357" s="9" t="s">
        <v>585</v>
      </c>
      <c r="C357" s="25">
        <v>2</v>
      </c>
      <c r="D357" s="9" t="s">
        <v>397</v>
      </c>
      <c r="E357" s="9" t="s">
        <v>397</v>
      </c>
      <c r="F357" s="9" t="s">
        <v>39</v>
      </c>
      <c r="G357" s="9" t="s">
        <v>184</v>
      </c>
      <c r="H357" s="9" t="s">
        <v>428</v>
      </c>
      <c r="I357" s="9" t="s">
        <v>42</v>
      </c>
      <c r="J357" s="9" t="s">
        <v>42</v>
      </c>
      <c r="K357" s="9" t="s">
        <v>42</v>
      </c>
      <c r="L357" s="9" t="s">
        <v>42</v>
      </c>
      <c r="M357" s="9" t="s">
        <v>42</v>
      </c>
      <c r="N357" s="40" t="s">
        <v>587</v>
      </c>
      <c r="O357" s="9" t="s">
        <v>86</v>
      </c>
      <c r="P357" s="40" t="s">
        <v>588</v>
      </c>
      <c r="Q357" s="9" t="s">
        <v>42</v>
      </c>
      <c r="R357" s="9" t="s">
        <v>42</v>
      </c>
      <c r="S357" s="9" t="s">
        <v>88</v>
      </c>
      <c r="T357" s="9" t="s">
        <v>42</v>
      </c>
      <c r="U357" s="9" t="s">
        <v>586</v>
      </c>
      <c r="V357" s="9" t="s">
        <v>42</v>
      </c>
      <c r="W357" s="11" t="s">
        <v>64</v>
      </c>
      <c r="X357" s="9" t="s">
        <v>42</v>
      </c>
      <c r="Y357" s="11">
        <v>0</v>
      </c>
      <c r="Z357" s="9">
        <v>0</v>
      </c>
      <c r="AA357" s="9">
        <v>80</v>
      </c>
      <c r="AB357" s="9">
        <v>0</v>
      </c>
      <c r="AC357" s="12">
        <v>2015</v>
      </c>
      <c r="AD357" s="12">
        <v>2015</v>
      </c>
      <c r="AE357" s="13" t="s">
        <v>72</v>
      </c>
      <c r="AF357" s="9">
        <v>1</v>
      </c>
      <c r="AG357" s="9" t="s">
        <v>64</v>
      </c>
      <c r="AH357" s="10" t="s">
        <v>64</v>
      </c>
    </row>
    <row r="358" spans="1:34" ht="15" customHeight="1">
      <c r="A358" t="s">
        <v>589</v>
      </c>
      <c r="B358" t="s">
        <v>590</v>
      </c>
      <c r="C358" s="24">
        <v>1</v>
      </c>
      <c r="D358" t="s">
        <v>38</v>
      </c>
      <c r="E358" t="s">
        <v>38</v>
      </c>
      <c r="F358" t="s">
        <v>39</v>
      </c>
      <c r="G358" t="s">
        <v>40</v>
      </c>
      <c r="H358" t="s">
        <v>91</v>
      </c>
      <c r="I358" t="s">
        <v>591</v>
      </c>
      <c r="J358" t="s">
        <v>42</v>
      </c>
      <c r="K358" t="s">
        <v>42</v>
      </c>
      <c r="L358" t="s">
        <v>42</v>
      </c>
      <c r="M358" s="1" t="s">
        <v>42</v>
      </c>
      <c r="N358" s="39" t="s">
        <v>132</v>
      </c>
      <c r="O358" t="s">
        <v>86</v>
      </c>
      <c r="P358" s="39" t="s">
        <v>388</v>
      </c>
      <c r="Q358" t="s">
        <v>254</v>
      </c>
      <c r="R358" t="s">
        <v>255</v>
      </c>
      <c r="S358" t="s">
        <v>389</v>
      </c>
      <c r="T358" t="s">
        <v>592</v>
      </c>
      <c r="U358" t="s">
        <v>42</v>
      </c>
      <c r="V358" t="s">
        <v>42</v>
      </c>
      <c r="W358" s="8" t="s">
        <v>64</v>
      </c>
      <c r="X358" t="s">
        <v>42</v>
      </c>
      <c r="Y358" s="8">
        <v>1</v>
      </c>
      <c r="Z358">
        <v>0</v>
      </c>
      <c r="AA358">
        <v>0</v>
      </c>
      <c r="AB358">
        <v>0</v>
      </c>
      <c r="AC358" s="5">
        <v>1996</v>
      </c>
      <c r="AD358" s="1">
        <v>2000</v>
      </c>
      <c r="AE358" s="6">
        <f>AD358-AC358</f>
        <v>4</v>
      </c>
      <c r="AF358">
        <v>34</v>
      </c>
      <c r="AG358" t="s">
        <v>64</v>
      </c>
      <c r="AH358" s="1" t="s">
        <v>64</v>
      </c>
    </row>
    <row r="359" spans="1:34" ht="15" customHeight="1">
      <c r="A359" t="s">
        <v>589</v>
      </c>
      <c r="B359" t="s">
        <v>590</v>
      </c>
      <c r="C359" s="24">
        <v>2</v>
      </c>
      <c r="D359" t="s">
        <v>38</v>
      </c>
      <c r="E359" t="s">
        <v>38</v>
      </c>
      <c r="F359" t="s">
        <v>39</v>
      </c>
      <c r="G359" t="s">
        <v>40</v>
      </c>
      <c r="H359" t="s">
        <v>91</v>
      </c>
      <c r="I359" t="s">
        <v>591</v>
      </c>
      <c r="J359" t="s">
        <v>42</v>
      </c>
      <c r="K359" t="s">
        <v>42</v>
      </c>
      <c r="L359" t="s">
        <v>42</v>
      </c>
      <c r="M359" s="1" t="s">
        <v>42</v>
      </c>
      <c r="N359" s="39" t="s">
        <v>132</v>
      </c>
      <c r="O359" t="s">
        <v>86</v>
      </c>
      <c r="P359" s="39" t="s">
        <v>593</v>
      </c>
      <c r="Q359" t="s">
        <v>254</v>
      </c>
      <c r="R359" t="s">
        <v>255</v>
      </c>
      <c r="S359" t="s">
        <v>594</v>
      </c>
      <c r="T359" t="s">
        <v>592</v>
      </c>
      <c r="U359" t="s">
        <v>42</v>
      </c>
      <c r="V359" t="s">
        <v>42</v>
      </c>
      <c r="W359" s="8" t="s">
        <v>64</v>
      </c>
      <c r="X359" t="s">
        <v>42</v>
      </c>
      <c r="Y359" s="8">
        <v>1</v>
      </c>
      <c r="Z359">
        <v>0</v>
      </c>
      <c r="AA359">
        <v>0</v>
      </c>
      <c r="AB359">
        <v>0</v>
      </c>
      <c r="AC359" s="5">
        <v>1996</v>
      </c>
      <c r="AD359" s="1">
        <v>2000</v>
      </c>
      <c r="AE359" s="6">
        <f>AD359-AC359</f>
        <v>4</v>
      </c>
      <c r="AF359">
        <v>34</v>
      </c>
      <c r="AG359" t="s">
        <v>64</v>
      </c>
      <c r="AH359" s="1" t="s">
        <v>64</v>
      </c>
    </row>
    <row r="360" spans="1:34" ht="15" customHeight="1">
      <c r="A360" t="s">
        <v>589</v>
      </c>
      <c r="B360" t="s">
        <v>590</v>
      </c>
      <c r="C360" s="24">
        <v>3</v>
      </c>
      <c r="D360" t="s">
        <v>38</v>
      </c>
      <c r="E360" t="s">
        <v>38</v>
      </c>
      <c r="F360" t="s">
        <v>39</v>
      </c>
      <c r="G360" t="s">
        <v>40</v>
      </c>
      <c r="H360" t="s">
        <v>91</v>
      </c>
      <c r="I360" t="s">
        <v>591</v>
      </c>
      <c r="J360" t="s">
        <v>42</v>
      </c>
      <c r="K360" t="s">
        <v>42</v>
      </c>
      <c r="L360" t="s">
        <v>42</v>
      </c>
      <c r="M360" s="1" t="s">
        <v>42</v>
      </c>
      <c r="N360" s="39" t="s">
        <v>132</v>
      </c>
      <c r="O360" t="s">
        <v>86</v>
      </c>
      <c r="P360" s="39" t="s">
        <v>595</v>
      </c>
      <c r="Q360" t="s">
        <v>254</v>
      </c>
      <c r="R360" t="s">
        <v>255</v>
      </c>
      <c r="S360" t="s">
        <v>69</v>
      </c>
      <c r="T360" t="s">
        <v>592</v>
      </c>
      <c r="U360" t="s">
        <v>42</v>
      </c>
      <c r="V360" t="s">
        <v>42</v>
      </c>
      <c r="W360" s="8" t="s">
        <v>64</v>
      </c>
      <c r="X360" t="s">
        <v>42</v>
      </c>
      <c r="Y360" s="8">
        <v>1</v>
      </c>
      <c r="Z360">
        <v>0</v>
      </c>
      <c r="AA360">
        <v>0</v>
      </c>
      <c r="AB360">
        <v>0</v>
      </c>
      <c r="AC360" s="5">
        <v>1996</v>
      </c>
      <c r="AD360" s="1">
        <v>2000</v>
      </c>
      <c r="AE360" s="6">
        <f>AD360-AC360</f>
        <v>4</v>
      </c>
      <c r="AF360">
        <v>34</v>
      </c>
      <c r="AG360" t="s">
        <v>64</v>
      </c>
      <c r="AH360" s="1" t="s">
        <v>64</v>
      </c>
    </row>
    <row r="361" spans="1:34" ht="15" customHeight="1">
      <c r="A361" t="s">
        <v>589</v>
      </c>
      <c r="B361" t="s">
        <v>590</v>
      </c>
      <c r="C361" s="24">
        <v>4</v>
      </c>
      <c r="D361" t="s">
        <v>38</v>
      </c>
      <c r="E361" t="s">
        <v>38</v>
      </c>
      <c r="F361" t="s">
        <v>39</v>
      </c>
      <c r="G361" t="s">
        <v>40</v>
      </c>
      <c r="H361" t="s">
        <v>91</v>
      </c>
      <c r="I361" t="s">
        <v>591</v>
      </c>
      <c r="J361" t="s">
        <v>42</v>
      </c>
      <c r="K361" t="s">
        <v>42</v>
      </c>
      <c r="L361" t="s">
        <v>42</v>
      </c>
      <c r="M361" s="1" t="s">
        <v>42</v>
      </c>
      <c r="N361" s="39" t="s">
        <v>52</v>
      </c>
      <c r="O361" t="s">
        <v>44</v>
      </c>
      <c r="P361" s="39" t="s">
        <v>596</v>
      </c>
      <c r="Q361" t="s">
        <v>254</v>
      </c>
      <c r="R361" t="s">
        <v>255</v>
      </c>
      <c r="S361" t="s">
        <v>597</v>
      </c>
      <c r="T361" t="s">
        <v>42</v>
      </c>
      <c r="U361" t="s">
        <v>42</v>
      </c>
      <c r="V361" t="s">
        <v>42</v>
      </c>
      <c r="W361" s="8" t="s">
        <v>50</v>
      </c>
      <c r="X361" t="s">
        <v>598</v>
      </c>
      <c r="Y361" s="8">
        <v>1</v>
      </c>
      <c r="Z361">
        <v>0</v>
      </c>
      <c r="AA361">
        <v>0</v>
      </c>
      <c r="AB361">
        <v>0</v>
      </c>
      <c r="AC361" s="5">
        <v>1996</v>
      </c>
      <c r="AD361" s="1">
        <v>2000</v>
      </c>
      <c r="AE361" s="6">
        <f>AD361-AC361</f>
        <v>4</v>
      </c>
      <c r="AF361">
        <v>34</v>
      </c>
      <c r="AG361" t="s">
        <v>64</v>
      </c>
      <c r="AH361" s="1" t="s">
        <v>64</v>
      </c>
    </row>
    <row r="362" spans="1:34" s="9" customFormat="1" ht="15" customHeight="1">
      <c r="A362" s="9" t="s">
        <v>589</v>
      </c>
      <c r="B362" s="9" t="s">
        <v>590</v>
      </c>
      <c r="C362" s="25">
        <v>5</v>
      </c>
      <c r="D362" s="9" t="s">
        <v>38</v>
      </c>
      <c r="E362" s="9" t="s">
        <v>38</v>
      </c>
      <c r="F362" s="9" t="s">
        <v>39</v>
      </c>
      <c r="G362" s="9" t="s">
        <v>40</v>
      </c>
      <c r="H362" t="s">
        <v>91</v>
      </c>
      <c r="I362" s="9" t="s">
        <v>591</v>
      </c>
      <c r="J362" s="9" t="s">
        <v>42</v>
      </c>
      <c r="K362" s="9" t="s">
        <v>42</v>
      </c>
      <c r="L362" s="9" t="s">
        <v>42</v>
      </c>
      <c r="M362" s="10" t="s">
        <v>42</v>
      </c>
      <c r="N362" s="40" t="s">
        <v>52</v>
      </c>
      <c r="O362" s="9" t="s">
        <v>44</v>
      </c>
      <c r="P362" s="40" t="s">
        <v>596</v>
      </c>
      <c r="Q362" s="9" t="s">
        <v>254</v>
      </c>
      <c r="R362" t="s">
        <v>255</v>
      </c>
      <c r="S362" s="9" t="s">
        <v>597</v>
      </c>
      <c r="T362" s="9" t="s">
        <v>42</v>
      </c>
      <c r="U362" s="9" t="s">
        <v>42</v>
      </c>
      <c r="V362" s="9" t="s">
        <v>42</v>
      </c>
      <c r="W362" s="11" t="s">
        <v>50</v>
      </c>
      <c r="X362" s="9" t="s">
        <v>598</v>
      </c>
      <c r="Y362" s="11">
        <v>1</v>
      </c>
      <c r="Z362" s="9">
        <v>0</v>
      </c>
      <c r="AA362" s="9">
        <v>0</v>
      </c>
      <c r="AB362" s="9">
        <v>0</v>
      </c>
      <c r="AC362" s="12">
        <v>1996</v>
      </c>
      <c r="AD362" s="10">
        <v>2000</v>
      </c>
      <c r="AE362" s="13">
        <f>AD362-AC362</f>
        <v>4</v>
      </c>
      <c r="AF362" s="9">
        <v>34</v>
      </c>
      <c r="AG362" s="9" t="s">
        <v>64</v>
      </c>
      <c r="AH362" s="10" t="s">
        <v>64</v>
      </c>
    </row>
    <row r="363" spans="1:34" ht="15" customHeight="1">
      <c r="A363" t="s">
        <v>599</v>
      </c>
      <c r="B363" t="s">
        <v>600</v>
      </c>
      <c r="C363" s="1">
        <v>1</v>
      </c>
      <c r="D363" t="s">
        <v>426</v>
      </c>
      <c r="E363" t="s">
        <v>426</v>
      </c>
      <c r="F363" t="s">
        <v>39</v>
      </c>
      <c r="G363" t="s">
        <v>184</v>
      </c>
      <c r="H363" t="s">
        <v>427</v>
      </c>
      <c r="I363" t="s">
        <v>42</v>
      </c>
      <c r="J363" t="s">
        <v>42</v>
      </c>
      <c r="K363" t="s">
        <v>42</v>
      </c>
      <c r="L363" t="s">
        <v>42</v>
      </c>
      <c r="M363" t="s">
        <v>42</v>
      </c>
      <c r="N363" s="39" t="s">
        <v>430</v>
      </c>
      <c r="O363" t="s">
        <v>187</v>
      </c>
      <c r="P363" s="39" t="s">
        <v>431</v>
      </c>
      <c r="Q363" t="s">
        <v>42</v>
      </c>
      <c r="R363" t="s">
        <v>42</v>
      </c>
      <c r="S363" t="s">
        <v>42</v>
      </c>
      <c r="T363" t="s">
        <v>42</v>
      </c>
      <c r="U363" t="s">
        <v>601</v>
      </c>
      <c r="V363" t="s">
        <v>602</v>
      </c>
      <c r="W363" s="8" t="s">
        <v>64</v>
      </c>
      <c r="X363" t="s">
        <v>42</v>
      </c>
      <c r="Y363" s="8">
        <v>0</v>
      </c>
      <c r="Z363">
        <v>0</v>
      </c>
      <c r="AA363">
        <v>504</v>
      </c>
      <c r="AB363">
        <v>0</v>
      </c>
      <c r="AC363" s="5">
        <v>2018</v>
      </c>
      <c r="AD363" s="1">
        <v>2019</v>
      </c>
      <c r="AE363" s="6">
        <v>1</v>
      </c>
      <c r="AF363">
        <v>1</v>
      </c>
      <c r="AG363" t="s">
        <v>64</v>
      </c>
      <c r="AH363" s="1" t="s">
        <v>64</v>
      </c>
    </row>
    <row r="364" spans="1:34" ht="15" customHeight="1">
      <c r="A364" t="s">
        <v>599</v>
      </c>
      <c r="B364" t="s">
        <v>600</v>
      </c>
      <c r="C364" s="1">
        <v>2</v>
      </c>
      <c r="D364" t="s">
        <v>426</v>
      </c>
      <c r="E364" t="s">
        <v>426</v>
      </c>
      <c r="F364" t="s">
        <v>39</v>
      </c>
      <c r="G364" t="s">
        <v>184</v>
      </c>
      <c r="H364" t="s">
        <v>427</v>
      </c>
      <c r="I364" t="s">
        <v>42</v>
      </c>
      <c r="J364" t="s">
        <v>42</v>
      </c>
      <c r="K364" t="s">
        <v>42</v>
      </c>
      <c r="L364" t="s">
        <v>42</v>
      </c>
      <c r="M364" t="s">
        <v>42</v>
      </c>
      <c r="N364" s="39" t="s">
        <v>430</v>
      </c>
      <c r="O364" t="s">
        <v>187</v>
      </c>
      <c r="P364" s="39" t="s">
        <v>434</v>
      </c>
      <c r="Q364" t="s">
        <v>42</v>
      </c>
      <c r="R364" t="s">
        <v>42</v>
      </c>
      <c r="S364" t="s">
        <v>42</v>
      </c>
      <c r="T364" t="s">
        <v>42</v>
      </c>
      <c r="U364" t="s">
        <v>601</v>
      </c>
      <c r="V364" t="s">
        <v>602</v>
      </c>
      <c r="W364" s="8" t="s">
        <v>64</v>
      </c>
      <c r="X364" t="s">
        <v>42</v>
      </c>
      <c r="Y364" s="8">
        <v>0</v>
      </c>
      <c r="Z364">
        <v>0</v>
      </c>
      <c r="AA364">
        <v>504</v>
      </c>
      <c r="AB364">
        <v>0</v>
      </c>
      <c r="AC364" s="5">
        <v>2018</v>
      </c>
      <c r="AD364" s="1">
        <v>2019</v>
      </c>
      <c r="AE364" s="6">
        <v>1</v>
      </c>
      <c r="AF364">
        <v>1</v>
      </c>
      <c r="AG364" t="s">
        <v>64</v>
      </c>
      <c r="AH364" s="1" t="s">
        <v>64</v>
      </c>
    </row>
    <row r="365" spans="1:34" s="9" customFormat="1" ht="15" customHeight="1">
      <c r="A365" s="9" t="s">
        <v>599</v>
      </c>
      <c r="B365" s="9" t="s">
        <v>600</v>
      </c>
      <c r="C365" s="10">
        <v>3</v>
      </c>
      <c r="D365" s="9" t="s">
        <v>426</v>
      </c>
      <c r="E365" s="9" t="s">
        <v>426</v>
      </c>
      <c r="F365" s="9" t="s">
        <v>39</v>
      </c>
      <c r="G365" s="9" t="s">
        <v>184</v>
      </c>
      <c r="H365" s="9" t="s">
        <v>427</v>
      </c>
      <c r="I365" s="9" t="s">
        <v>42</v>
      </c>
      <c r="J365" s="9" t="s">
        <v>42</v>
      </c>
      <c r="K365" s="9" t="s">
        <v>42</v>
      </c>
      <c r="L365" s="9" t="s">
        <v>42</v>
      </c>
      <c r="M365" s="9" t="s">
        <v>42</v>
      </c>
      <c r="N365" s="40" t="s">
        <v>430</v>
      </c>
      <c r="O365" s="9" t="s">
        <v>187</v>
      </c>
      <c r="P365" s="40" t="s">
        <v>456</v>
      </c>
      <c r="Q365" s="9" t="s">
        <v>42</v>
      </c>
      <c r="R365" s="9" t="s">
        <v>42</v>
      </c>
      <c r="S365" s="9" t="s">
        <v>42</v>
      </c>
      <c r="T365" s="9" t="s">
        <v>42</v>
      </c>
      <c r="U365" s="9" t="s">
        <v>601</v>
      </c>
      <c r="V365" s="9" t="s">
        <v>602</v>
      </c>
      <c r="W365" s="11" t="s">
        <v>64</v>
      </c>
      <c r="X365" s="9" t="s">
        <v>42</v>
      </c>
      <c r="Y365" s="11">
        <v>0</v>
      </c>
      <c r="Z365" s="9">
        <v>0</v>
      </c>
      <c r="AA365" s="9">
        <v>504</v>
      </c>
      <c r="AB365" s="9">
        <v>0</v>
      </c>
      <c r="AC365" s="12">
        <v>2018</v>
      </c>
      <c r="AD365" s="10">
        <v>2019</v>
      </c>
      <c r="AE365" s="13">
        <v>1</v>
      </c>
      <c r="AF365" s="9">
        <v>1</v>
      </c>
      <c r="AG365" s="9" t="s">
        <v>64</v>
      </c>
      <c r="AH365" s="10" t="s">
        <v>64</v>
      </c>
    </row>
    <row r="366" spans="1:34" ht="15" customHeight="1">
      <c r="A366" t="s">
        <v>603</v>
      </c>
      <c r="B366" t="s">
        <v>518</v>
      </c>
      <c r="C366" s="1">
        <v>1</v>
      </c>
      <c r="D366" t="s">
        <v>604</v>
      </c>
      <c r="E366" t="s">
        <v>397</v>
      </c>
      <c r="F366" t="s">
        <v>116</v>
      </c>
      <c r="G366" t="s">
        <v>40</v>
      </c>
      <c r="H366" t="s">
        <v>42</v>
      </c>
      <c r="I366" t="s">
        <v>42</v>
      </c>
      <c r="J366" t="s">
        <v>42</v>
      </c>
      <c r="K366" t="s">
        <v>605</v>
      </c>
      <c r="L366" t="s">
        <v>42</v>
      </c>
      <c r="M366" t="s">
        <v>42</v>
      </c>
      <c r="N366" s="39" t="s">
        <v>402</v>
      </c>
      <c r="O366" t="s">
        <v>86</v>
      </c>
      <c r="P366" s="39" t="s">
        <v>402</v>
      </c>
      <c r="Q366" t="s">
        <v>606</v>
      </c>
      <c r="R366" t="s">
        <v>607</v>
      </c>
      <c r="S366" t="s">
        <v>477</v>
      </c>
      <c r="T366" t="s">
        <v>42</v>
      </c>
      <c r="U366" t="s">
        <v>42</v>
      </c>
      <c r="V366" t="s">
        <v>42</v>
      </c>
      <c r="W366" s="8" t="s">
        <v>64</v>
      </c>
      <c r="X366" t="s">
        <v>42</v>
      </c>
      <c r="Y366" s="8">
        <v>0</v>
      </c>
      <c r="Z366">
        <v>0</v>
      </c>
      <c r="AA366">
        <v>0</v>
      </c>
      <c r="AB366">
        <v>1</v>
      </c>
      <c r="AC366" s="5">
        <v>1985</v>
      </c>
      <c r="AD366" s="1">
        <v>2010</v>
      </c>
      <c r="AE366" s="6">
        <f>AD366-AC366</f>
        <v>25</v>
      </c>
      <c r="AF366">
        <f>25*12</f>
        <v>300</v>
      </c>
      <c r="AG366" t="s">
        <v>50</v>
      </c>
      <c r="AH366" s="1" t="s">
        <v>64</v>
      </c>
    </row>
    <row r="367" spans="1:34" ht="15" customHeight="1">
      <c r="A367" t="s">
        <v>603</v>
      </c>
      <c r="B367" t="s">
        <v>518</v>
      </c>
      <c r="C367" s="1">
        <v>2</v>
      </c>
      <c r="D367" t="s">
        <v>604</v>
      </c>
      <c r="E367" t="s">
        <v>397</v>
      </c>
      <c r="F367" t="s">
        <v>116</v>
      </c>
      <c r="G367" t="s">
        <v>40</v>
      </c>
      <c r="H367" t="s">
        <v>42</v>
      </c>
      <c r="I367" t="s">
        <v>42</v>
      </c>
      <c r="J367" t="s">
        <v>42</v>
      </c>
      <c r="K367" t="s">
        <v>605</v>
      </c>
      <c r="L367" t="s">
        <v>42</v>
      </c>
      <c r="M367" t="s">
        <v>42</v>
      </c>
      <c r="N367" s="39" t="s">
        <v>402</v>
      </c>
      <c r="O367" t="s">
        <v>86</v>
      </c>
      <c r="P367" s="39" t="s">
        <v>608</v>
      </c>
      <c r="Q367" t="s">
        <v>606</v>
      </c>
      <c r="R367" t="s">
        <v>607</v>
      </c>
      <c r="S367" t="s">
        <v>523</v>
      </c>
      <c r="T367" t="s">
        <v>42</v>
      </c>
      <c r="U367" t="s">
        <v>42</v>
      </c>
      <c r="V367" t="s">
        <v>42</v>
      </c>
      <c r="W367" s="8" t="s">
        <v>64</v>
      </c>
      <c r="X367" t="s">
        <v>42</v>
      </c>
      <c r="Y367" s="8">
        <v>0</v>
      </c>
      <c r="Z367">
        <v>0</v>
      </c>
      <c r="AA367">
        <v>0</v>
      </c>
      <c r="AB367">
        <v>1</v>
      </c>
      <c r="AC367" s="5">
        <v>1999</v>
      </c>
      <c r="AD367" s="1">
        <v>2001</v>
      </c>
      <c r="AE367" s="6">
        <v>2</v>
      </c>
      <c r="AF367" s="6">
        <v>30</v>
      </c>
      <c r="AG367" t="s">
        <v>64</v>
      </c>
      <c r="AH367" s="1" t="s">
        <v>64</v>
      </c>
    </row>
    <row r="368" spans="1:34" ht="15" customHeight="1">
      <c r="A368" t="s">
        <v>603</v>
      </c>
      <c r="B368" t="s">
        <v>518</v>
      </c>
      <c r="C368" s="1">
        <v>3</v>
      </c>
      <c r="D368" t="s">
        <v>604</v>
      </c>
      <c r="E368" t="s">
        <v>397</v>
      </c>
      <c r="F368" t="s">
        <v>116</v>
      </c>
      <c r="G368" t="s">
        <v>40</v>
      </c>
      <c r="H368" t="s">
        <v>42</v>
      </c>
      <c r="I368" t="s">
        <v>42</v>
      </c>
      <c r="J368" t="s">
        <v>42</v>
      </c>
      <c r="K368" t="s">
        <v>605</v>
      </c>
      <c r="L368" t="s">
        <v>42</v>
      </c>
      <c r="M368" t="s">
        <v>42</v>
      </c>
      <c r="N368" s="39" t="s">
        <v>402</v>
      </c>
      <c r="O368" t="s">
        <v>86</v>
      </c>
      <c r="P368" s="39" t="s">
        <v>609</v>
      </c>
      <c r="Q368" t="s">
        <v>606</v>
      </c>
      <c r="R368" t="s">
        <v>607</v>
      </c>
      <c r="S368" t="s">
        <v>523</v>
      </c>
      <c r="T368" t="s">
        <v>42</v>
      </c>
      <c r="U368" t="s">
        <v>42</v>
      </c>
      <c r="V368" t="s">
        <v>42</v>
      </c>
      <c r="W368" s="8" t="s">
        <v>64</v>
      </c>
      <c r="X368" t="s">
        <v>42</v>
      </c>
      <c r="Y368" s="8">
        <v>0</v>
      </c>
      <c r="Z368">
        <v>0</v>
      </c>
      <c r="AA368">
        <v>0</v>
      </c>
      <c r="AB368">
        <v>1</v>
      </c>
      <c r="AC368" s="5">
        <v>1999</v>
      </c>
      <c r="AD368" s="1">
        <v>2001</v>
      </c>
      <c r="AE368" s="6">
        <v>2</v>
      </c>
      <c r="AF368" s="6">
        <v>30</v>
      </c>
      <c r="AG368" t="s">
        <v>64</v>
      </c>
      <c r="AH368" s="1" t="s">
        <v>64</v>
      </c>
    </row>
    <row r="369" spans="1:34" ht="15" customHeight="1">
      <c r="A369" t="s">
        <v>603</v>
      </c>
      <c r="B369" t="s">
        <v>518</v>
      </c>
      <c r="C369" s="1">
        <v>4</v>
      </c>
      <c r="D369" t="s">
        <v>604</v>
      </c>
      <c r="E369" t="s">
        <v>397</v>
      </c>
      <c r="F369" t="s">
        <v>116</v>
      </c>
      <c r="G369" t="s">
        <v>40</v>
      </c>
      <c r="H369" t="s">
        <v>42</v>
      </c>
      <c r="I369" t="s">
        <v>42</v>
      </c>
      <c r="J369" t="s">
        <v>42</v>
      </c>
      <c r="K369" t="s">
        <v>605</v>
      </c>
      <c r="L369" t="s">
        <v>42</v>
      </c>
      <c r="M369" t="s">
        <v>42</v>
      </c>
      <c r="N369" s="39" t="s">
        <v>402</v>
      </c>
      <c r="O369" t="s">
        <v>86</v>
      </c>
      <c r="P369" s="39" t="s">
        <v>610</v>
      </c>
      <c r="Q369" t="s">
        <v>606</v>
      </c>
      <c r="R369" t="s">
        <v>607</v>
      </c>
      <c r="S369" t="s">
        <v>523</v>
      </c>
      <c r="T369" t="s">
        <v>42</v>
      </c>
      <c r="U369" t="s">
        <v>42</v>
      </c>
      <c r="V369" t="s">
        <v>42</v>
      </c>
      <c r="W369" s="8" t="s">
        <v>64</v>
      </c>
      <c r="X369" t="s">
        <v>42</v>
      </c>
      <c r="Y369" s="8">
        <v>0</v>
      </c>
      <c r="Z369">
        <v>0</v>
      </c>
      <c r="AA369">
        <v>0</v>
      </c>
      <c r="AB369">
        <v>1</v>
      </c>
      <c r="AC369" s="5">
        <v>1999</v>
      </c>
      <c r="AD369" s="1">
        <v>2001</v>
      </c>
      <c r="AE369" s="6">
        <v>2</v>
      </c>
      <c r="AF369" s="6">
        <v>30</v>
      </c>
      <c r="AG369" t="s">
        <v>64</v>
      </c>
      <c r="AH369" s="1" t="s">
        <v>64</v>
      </c>
    </row>
    <row r="370" spans="1:34" ht="15" customHeight="1">
      <c r="A370" t="s">
        <v>603</v>
      </c>
      <c r="B370" t="s">
        <v>518</v>
      </c>
      <c r="C370" s="1">
        <v>5</v>
      </c>
      <c r="D370" t="s">
        <v>604</v>
      </c>
      <c r="E370" t="s">
        <v>38</v>
      </c>
      <c r="F370" t="s">
        <v>39</v>
      </c>
      <c r="G370" t="s">
        <v>40</v>
      </c>
      <c r="H370" t="s">
        <v>91</v>
      </c>
      <c r="I370" t="s">
        <v>42</v>
      </c>
      <c r="J370" t="s">
        <v>42</v>
      </c>
      <c r="K370" t="s">
        <v>42</v>
      </c>
      <c r="L370" t="s">
        <v>42</v>
      </c>
      <c r="M370" t="s">
        <v>42</v>
      </c>
      <c r="N370" s="39" t="s">
        <v>57</v>
      </c>
      <c r="O370" t="s">
        <v>44</v>
      </c>
      <c r="P370" s="39" t="s">
        <v>57</v>
      </c>
      <c r="Q370" t="s">
        <v>606</v>
      </c>
      <c r="R370" t="s">
        <v>607</v>
      </c>
      <c r="S370" t="s">
        <v>562</v>
      </c>
      <c r="T370" t="s">
        <v>611</v>
      </c>
      <c r="U370" t="s">
        <v>42</v>
      </c>
      <c r="V370" t="s">
        <v>42</v>
      </c>
      <c r="W370" s="8" t="s">
        <v>50</v>
      </c>
      <c r="X370" t="s">
        <v>85</v>
      </c>
      <c r="Y370" s="8">
        <v>0</v>
      </c>
      <c r="Z370">
        <v>0</v>
      </c>
      <c r="AA370">
        <v>0</v>
      </c>
      <c r="AB370">
        <v>1</v>
      </c>
      <c r="AC370" s="5">
        <v>1999</v>
      </c>
      <c r="AD370" s="1">
        <v>2009</v>
      </c>
      <c r="AE370" s="6">
        <f>AD370-AC370</f>
        <v>10</v>
      </c>
      <c r="AF370" s="6">
        <v>10</v>
      </c>
      <c r="AG370" t="s">
        <v>64</v>
      </c>
      <c r="AH370" s="1" t="s">
        <v>64</v>
      </c>
    </row>
    <row r="371" spans="1:34" ht="15" customHeight="1">
      <c r="A371" t="s">
        <v>603</v>
      </c>
      <c r="B371" t="s">
        <v>518</v>
      </c>
      <c r="C371" s="1">
        <v>6</v>
      </c>
      <c r="D371" t="s">
        <v>604</v>
      </c>
      <c r="E371" t="s">
        <v>38</v>
      </c>
      <c r="F371" t="s">
        <v>39</v>
      </c>
      <c r="G371" t="s">
        <v>40</v>
      </c>
      <c r="H371" t="s">
        <v>91</v>
      </c>
      <c r="I371" t="s">
        <v>42</v>
      </c>
      <c r="J371" t="s">
        <v>42</v>
      </c>
      <c r="K371" t="s">
        <v>42</v>
      </c>
      <c r="L371" t="s">
        <v>42</v>
      </c>
      <c r="M371" t="s">
        <v>42</v>
      </c>
      <c r="N371" s="39" t="s">
        <v>43</v>
      </c>
      <c r="O371" t="s">
        <v>86</v>
      </c>
      <c r="P371" s="39" t="s">
        <v>247</v>
      </c>
      <c r="Q371" t="s">
        <v>606</v>
      </c>
      <c r="R371" t="s">
        <v>607</v>
      </c>
      <c r="S371" t="s">
        <v>136</v>
      </c>
      <c r="T371" t="s">
        <v>42</v>
      </c>
      <c r="U371" t="s">
        <v>42</v>
      </c>
      <c r="V371" t="s">
        <v>42</v>
      </c>
      <c r="W371" s="8" t="s">
        <v>64</v>
      </c>
      <c r="X371" t="s">
        <v>42</v>
      </c>
      <c r="Y371" s="8">
        <v>0</v>
      </c>
      <c r="Z371">
        <v>0</v>
      </c>
      <c r="AA371">
        <v>0</v>
      </c>
      <c r="AB371">
        <v>1</v>
      </c>
      <c r="AC371" s="5">
        <v>1999</v>
      </c>
      <c r="AD371" s="1">
        <v>2001</v>
      </c>
      <c r="AE371" s="6">
        <v>2</v>
      </c>
      <c r="AF371">
        <v>6</v>
      </c>
      <c r="AG371" t="s">
        <v>64</v>
      </c>
      <c r="AH371" s="1" t="s">
        <v>64</v>
      </c>
    </row>
    <row r="372" spans="1:34" s="9" customFormat="1" ht="15" customHeight="1">
      <c r="A372" s="9" t="s">
        <v>603</v>
      </c>
      <c r="B372" s="9" t="s">
        <v>518</v>
      </c>
      <c r="C372" s="10">
        <v>7</v>
      </c>
      <c r="D372" s="9" t="s">
        <v>604</v>
      </c>
      <c r="E372" s="9" t="s">
        <v>38</v>
      </c>
      <c r="F372" s="9" t="s">
        <v>123</v>
      </c>
      <c r="G372" s="9" t="s">
        <v>40</v>
      </c>
      <c r="H372" s="9" t="s">
        <v>91</v>
      </c>
      <c r="I372" s="9" t="s">
        <v>42</v>
      </c>
      <c r="J372" s="9" t="s">
        <v>42</v>
      </c>
      <c r="K372" s="9" t="s">
        <v>605</v>
      </c>
      <c r="L372" s="9" t="s">
        <v>42</v>
      </c>
      <c r="M372" s="9" t="s">
        <v>42</v>
      </c>
      <c r="N372" s="40" t="s">
        <v>132</v>
      </c>
      <c r="O372" s="9" t="s">
        <v>44</v>
      </c>
      <c r="P372" s="40" t="s">
        <v>132</v>
      </c>
      <c r="Q372" s="9" t="s">
        <v>606</v>
      </c>
      <c r="R372" s="9" t="s">
        <v>607</v>
      </c>
      <c r="S372" s="9" t="s">
        <v>612</v>
      </c>
      <c r="T372" s="9" t="s">
        <v>42</v>
      </c>
      <c r="U372" s="9" t="s">
        <v>42</v>
      </c>
      <c r="V372" s="9" t="s">
        <v>42</v>
      </c>
      <c r="W372" s="11" t="s">
        <v>613</v>
      </c>
      <c r="X372" s="9" t="s">
        <v>365</v>
      </c>
      <c r="Y372" s="11">
        <v>0</v>
      </c>
      <c r="Z372" s="9">
        <v>0</v>
      </c>
      <c r="AA372" s="9">
        <v>0</v>
      </c>
      <c r="AB372" s="9">
        <v>1</v>
      </c>
      <c r="AC372" s="12">
        <v>1999</v>
      </c>
      <c r="AD372" s="10">
        <v>2001</v>
      </c>
      <c r="AE372" s="13">
        <v>2</v>
      </c>
      <c r="AF372" s="9">
        <v>33</v>
      </c>
      <c r="AG372" s="9" t="s">
        <v>64</v>
      </c>
      <c r="AH372" s="10" t="s">
        <v>64</v>
      </c>
    </row>
    <row r="373" spans="1:34" ht="15" customHeight="1">
      <c r="A373" t="s">
        <v>614</v>
      </c>
      <c r="B373" t="s">
        <v>615</v>
      </c>
      <c r="C373" s="1">
        <v>1</v>
      </c>
      <c r="D373" t="s">
        <v>426</v>
      </c>
      <c r="E373" t="s">
        <v>426</v>
      </c>
      <c r="F373" t="s">
        <v>39</v>
      </c>
      <c r="G373" t="s">
        <v>40</v>
      </c>
      <c r="H373" t="s">
        <v>427</v>
      </c>
      <c r="I373" t="s">
        <v>467</v>
      </c>
      <c r="J373" t="s">
        <v>444</v>
      </c>
      <c r="K373" t="s">
        <v>42</v>
      </c>
      <c r="L373" t="s">
        <v>42</v>
      </c>
      <c r="M373" s="1" t="s">
        <v>42</v>
      </c>
      <c r="N373" s="39" t="s">
        <v>430</v>
      </c>
      <c r="O373" t="s">
        <v>44</v>
      </c>
      <c r="P373" s="39" t="s">
        <v>431</v>
      </c>
      <c r="Q373" t="s">
        <v>42</v>
      </c>
      <c r="R373" t="s">
        <v>42</v>
      </c>
      <c r="S373" t="s">
        <v>616</v>
      </c>
      <c r="T373" t="s">
        <v>42</v>
      </c>
      <c r="U373" t="s">
        <v>617</v>
      </c>
      <c r="V373" t="s">
        <v>618</v>
      </c>
      <c r="W373" s="8" t="s">
        <v>64</v>
      </c>
      <c r="X373" t="s">
        <v>42</v>
      </c>
      <c r="Y373" s="8">
        <v>0</v>
      </c>
      <c r="Z373">
        <v>0</v>
      </c>
      <c r="AA373">
        <v>2</v>
      </c>
      <c r="AB373">
        <v>0</v>
      </c>
      <c r="AC373" s="5">
        <v>2018</v>
      </c>
      <c r="AD373" s="1">
        <v>2020</v>
      </c>
      <c r="AE373" s="6">
        <v>2</v>
      </c>
      <c r="AF373">
        <v>1</v>
      </c>
      <c r="AG373" t="s">
        <v>64</v>
      </c>
      <c r="AH373" s="1" t="s">
        <v>64</v>
      </c>
    </row>
    <row r="374" spans="1:34" s="9" customFormat="1" ht="15" customHeight="1">
      <c r="A374" s="9" t="s">
        <v>614</v>
      </c>
      <c r="B374" s="9" t="s">
        <v>615</v>
      </c>
      <c r="C374" s="10">
        <v>2</v>
      </c>
      <c r="D374" s="9" t="s">
        <v>426</v>
      </c>
      <c r="E374" s="9" t="s">
        <v>426</v>
      </c>
      <c r="F374" s="9" t="s">
        <v>39</v>
      </c>
      <c r="G374" s="9" t="s">
        <v>40</v>
      </c>
      <c r="H374" s="9" t="s">
        <v>427</v>
      </c>
      <c r="I374" s="9" t="s">
        <v>467</v>
      </c>
      <c r="J374" s="9" t="s">
        <v>444</v>
      </c>
      <c r="K374" s="9" t="s">
        <v>42</v>
      </c>
      <c r="L374" s="9" t="s">
        <v>42</v>
      </c>
      <c r="M374" s="10" t="s">
        <v>42</v>
      </c>
      <c r="N374" s="40" t="s">
        <v>430</v>
      </c>
      <c r="O374" s="9" t="s">
        <v>44</v>
      </c>
      <c r="P374" s="40" t="s">
        <v>434</v>
      </c>
      <c r="Q374" s="9" t="s">
        <v>42</v>
      </c>
      <c r="R374" s="9" t="s">
        <v>42</v>
      </c>
      <c r="S374" s="9" t="s">
        <v>616</v>
      </c>
      <c r="T374" s="9" t="s">
        <v>42</v>
      </c>
      <c r="U374" s="9" t="s">
        <v>617</v>
      </c>
      <c r="V374" s="9" t="s">
        <v>618</v>
      </c>
      <c r="W374" s="11" t="s">
        <v>64</v>
      </c>
      <c r="X374" s="9" t="s">
        <v>42</v>
      </c>
      <c r="Y374" s="11">
        <v>0</v>
      </c>
      <c r="Z374" s="9">
        <v>0</v>
      </c>
      <c r="AA374" s="9">
        <v>2</v>
      </c>
      <c r="AB374" s="9">
        <v>0</v>
      </c>
      <c r="AC374" s="12">
        <v>2018</v>
      </c>
      <c r="AD374" s="10">
        <v>2020</v>
      </c>
      <c r="AE374" s="13">
        <v>2</v>
      </c>
      <c r="AF374" s="9">
        <v>1</v>
      </c>
      <c r="AG374" s="9" t="s">
        <v>64</v>
      </c>
      <c r="AH374" s="10" t="s">
        <v>64</v>
      </c>
    </row>
    <row r="375" spans="1:34" ht="15" customHeight="1">
      <c r="A375" t="s">
        <v>619</v>
      </c>
      <c r="B375" t="s">
        <v>620</v>
      </c>
      <c r="C375" s="1">
        <v>1</v>
      </c>
      <c r="D375" t="s">
        <v>502</v>
      </c>
      <c r="E375" t="s">
        <v>426</v>
      </c>
      <c r="F375" t="s">
        <v>123</v>
      </c>
      <c r="G375" t="s">
        <v>40</v>
      </c>
      <c r="H375" t="s">
        <v>427</v>
      </c>
      <c r="I375" t="s">
        <v>621</v>
      </c>
      <c r="J375" t="s">
        <v>42</v>
      </c>
      <c r="K375" t="s">
        <v>622</v>
      </c>
      <c r="L375" t="s">
        <v>42</v>
      </c>
      <c r="M375" s="1" t="s">
        <v>42</v>
      </c>
      <c r="N375" s="39" t="s">
        <v>623</v>
      </c>
      <c r="O375" t="s">
        <v>86</v>
      </c>
      <c r="P375" s="39" t="s">
        <v>624</v>
      </c>
      <c r="Q375" t="s">
        <v>108</v>
      </c>
      <c r="R375" t="s">
        <v>109</v>
      </c>
      <c r="S375" t="s">
        <v>88</v>
      </c>
      <c r="T375" t="s">
        <v>42</v>
      </c>
      <c r="U375" t="s">
        <v>625</v>
      </c>
      <c r="V375" t="s">
        <v>42</v>
      </c>
      <c r="W375" s="8" t="s">
        <v>64</v>
      </c>
      <c r="X375" t="s">
        <v>42</v>
      </c>
      <c r="Y375" s="8">
        <v>0</v>
      </c>
      <c r="Z375">
        <v>0</v>
      </c>
      <c r="AA375">
        <v>14</v>
      </c>
      <c r="AB375">
        <v>0</v>
      </c>
      <c r="AC375" s="5">
        <v>2013</v>
      </c>
      <c r="AD375" s="1">
        <v>2014</v>
      </c>
      <c r="AE375" s="6" t="s">
        <v>72</v>
      </c>
      <c r="AF375">
        <v>1</v>
      </c>
      <c r="AG375" t="s">
        <v>64</v>
      </c>
      <c r="AH375" s="1" t="s">
        <v>64</v>
      </c>
    </row>
    <row r="376" spans="1:34" ht="15" customHeight="1">
      <c r="A376" t="s">
        <v>619</v>
      </c>
      <c r="B376" t="s">
        <v>620</v>
      </c>
      <c r="C376" s="1">
        <v>2</v>
      </c>
      <c r="D376" t="s">
        <v>502</v>
      </c>
      <c r="E376" t="s">
        <v>397</v>
      </c>
      <c r="F376" t="s">
        <v>123</v>
      </c>
      <c r="G376" t="s">
        <v>40</v>
      </c>
      <c r="H376" t="s">
        <v>427</v>
      </c>
      <c r="I376" t="s">
        <v>621</v>
      </c>
      <c r="J376" t="s">
        <v>42</v>
      </c>
      <c r="K376" t="s">
        <v>622</v>
      </c>
      <c r="L376" t="s">
        <v>42</v>
      </c>
      <c r="M376" s="1" t="s">
        <v>42</v>
      </c>
      <c r="N376" s="39" t="s">
        <v>506</v>
      </c>
      <c r="O376" t="s">
        <v>86</v>
      </c>
      <c r="P376" s="39" t="s">
        <v>512</v>
      </c>
      <c r="Q376" t="s">
        <v>108</v>
      </c>
      <c r="R376" t="s">
        <v>109</v>
      </c>
      <c r="S376" t="s">
        <v>626</v>
      </c>
      <c r="T376" t="s">
        <v>42</v>
      </c>
      <c r="U376" t="s">
        <v>625</v>
      </c>
      <c r="V376" t="s">
        <v>42</v>
      </c>
      <c r="W376" s="8" t="s">
        <v>64</v>
      </c>
      <c r="X376" t="s">
        <v>42</v>
      </c>
      <c r="Y376" s="8">
        <v>0</v>
      </c>
      <c r="Z376">
        <v>0</v>
      </c>
      <c r="AA376">
        <v>14</v>
      </c>
      <c r="AB376">
        <v>0</v>
      </c>
      <c r="AC376" s="5">
        <v>2013</v>
      </c>
      <c r="AD376" s="1">
        <v>2014</v>
      </c>
      <c r="AE376" s="6" t="s">
        <v>72</v>
      </c>
      <c r="AF376">
        <v>1</v>
      </c>
      <c r="AG376" t="s">
        <v>64</v>
      </c>
      <c r="AH376" s="1" t="s">
        <v>64</v>
      </c>
    </row>
    <row r="377" spans="1:34" s="9" customFormat="1" ht="15" customHeight="1">
      <c r="A377" s="9" t="s">
        <v>619</v>
      </c>
      <c r="B377" s="9" t="s">
        <v>620</v>
      </c>
      <c r="C377" s="10">
        <v>3</v>
      </c>
      <c r="D377" s="9" t="s">
        <v>502</v>
      </c>
      <c r="E377" s="9" t="s">
        <v>397</v>
      </c>
      <c r="F377" s="9" t="s">
        <v>123</v>
      </c>
      <c r="G377" s="9" t="s">
        <v>40</v>
      </c>
      <c r="H377" s="9" t="s">
        <v>427</v>
      </c>
      <c r="I377" s="9" t="s">
        <v>621</v>
      </c>
      <c r="J377" s="9" t="s">
        <v>42</v>
      </c>
      <c r="K377" s="9" t="s">
        <v>622</v>
      </c>
      <c r="L377" s="9" t="s">
        <v>42</v>
      </c>
      <c r="M377" s="10" t="s">
        <v>42</v>
      </c>
      <c r="N377" s="40" t="s">
        <v>623</v>
      </c>
      <c r="O377" s="9" t="s">
        <v>86</v>
      </c>
      <c r="P377" s="40" t="s">
        <v>627</v>
      </c>
      <c r="Q377" t="s">
        <v>108</v>
      </c>
      <c r="R377" t="s">
        <v>109</v>
      </c>
      <c r="S377" s="9" t="s">
        <v>626</v>
      </c>
      <c r="T377" s="9" t="s">
        <v>42</v>
      </c>
      <c r="U377" s="9" t="s">
        <v>625</v>
      </c>
      <c r="V377" s="9" t="s">
        <v>42</v>
      </c>
      <c r="W377" s="11" t="s">
        <v>64</v>
      </c>
      <c r="X377" s="9" t="s">
        <v>42</v>
      </c>
      <c r="Y377" s="11">
        <v>0</v>
      </c>
      <c r="Z377" s="9">
        <v>0</v>
      </c>
      <c r="AA377" s="9">
        <v>14</v>
      </c>
      <c r="AB377" s="9">
        <v>0</v>
      </c>
      <c r="AC377" s="12">
        <v>2013</v>
      </c>
      <c r="AD377" s="10">
        <v>2014</v>
      </c>
      <c r="AE377" s="13" t="s">
        <v>72</v>
      </c>
      <c r="AF377" s="9">
        <v>1</v>
      </c>
      <c r="AG377" s="9" t="s">
        <v>64</v>
      </c>
      <c r="AH377" s="10" t="s">
        <v>64</v>
      </c>
    </row>
    <row r="378" spans="1:34" ht="15" customHeight="1">
      <c r="A378" t="s">
        <v>628</v>
      </c>
      <c r="B378" s="15" t="s">
        <v>629</v>
      </c>
      <c r="C378" s="1">
        <v>1</v>
      </c>
      <c r="D378" t="s">
        <v>397</v>
      </c>
      <c r="E378" t="s">
        <v>397</v>
      </c>
      <c r="F378" t="s">
        <v>39</v>
      </c>
      <c r="G378" t="s">
        <v>40</v>
      </c>
      <c r="H378" t="s">
        <v>428</v>
      </c>
      <c r="I378" t="s">
        <v>42</v>
      </c>
      <c r="J378" t="s">
        <v>42</v>
      </c>
      <c r="K378" t="s">
        <v>42</v>
      </c>
      <c r="L378" t="s">
        <v>42</v>
      </c>
      <c r="M378" t="s">
        <v>42</v>
      </c>
      <c r="N378" s="39" t="s">
        <v>623</v>
      </c>
      <c r="O378" t="s">
        <v>44</v>
      </c>
      <c r="P378" s="39" t="s">
        <v>630</v>
      </c>
      <c r="Q378" t="s">
        <v>42</v>
      </c>
      <c r="R378" t="s">
        <v>109</v>
      </c>
      <c r="S378" t="s">
        <v>631</v>
      </c>
      <c r="T378" t="s">
        <v>632</v>
      </c>
      <c r="U378" t="s">
        <v>633</v>
      </c>
      <c r="V378" t="s">
        <v>42</v>
      </c>
      <c r="W378" s="8" t="s">
        <v>50</v>
      </c>
      <c r="X378" t="s">
        <v>634</v>
      </c>
      <c r="Y378" s="8">
        <v>0</v>
      </c>
      <c r="Z378">
        <v>0</v>
      </c>
      <c r="AA378">
        <v>100</v>
      </c>
      <c r="AB378">
        <v>0</v>
      </c>
      <c r="AC378" s="5">
        <v>2017</v>
      </c>
      <c r="AD378" s="1">
        <v>2018</v>
      </c>
      <c r="AE378" s="6">
        <v>1</v>
      </c>
      <c r="AF378">
        <v>1</v>
      </c>
      <c r="AG378" t="s">
        <v>64</v>
      </c>
      <c r="AH378" s="1" t="s">
        <v>64</v>
      </c>
    </row>
    <row r="379" spans="1:34" ht="15" customHeight="1">
      <c r="A379" t="s">
        <v>628</v>
      </c>
      <c r="B379" s="15" t="s">
        <v>629</v>
      </c>
      <c r="C379" s="1">
        <v>2</v>
      </c>
      <c r="D379" t="s">
        <v>397</v>
      </c>
      <c r="E379" t="s">
        <v>397</v>
      </c>
      <c r="F379" t="s">
        <v>39</v>
      </c>
      <c r="G379" t="s">
        <v>40</v>
      </c>
      <c r="H379" t="s">
        <v>428</v>
      </c>
      <c r="I379" t="s">
        <v>42</v>
      </c>
      <c r="J379" t="s">
        <v>42</v>
      </c>
      <c r="K379" t="s">
        <v>42</v>
      </c>
      <c r="L379" t="s">
        <v>42</v>
      </c>
      <c r="M379" t="s">
        <v>42</v>
      </c>
      <c r="N379" s="39" t="s">
        <v>623</v>
      </c>
      <c r="O379" t="s">
        <v>86</v>
      </c>
      <c r="P379" s="39" t="s">
        <v>635</v>
      </c>
      <c r="Q379" t="s">
        <v>42</v>
      </c>
      <c r="R379" t="s">
        <v>109</v>
      </c>
      <c r="S379" t="s">
        <v>636</v>
      </c>
      <c r="T379" t="s">
        <v>632</v>
      </c>
      <c r="U379" t="s">
        <v>633</v>
      </c>
      <c r="V379" t="s">
        <v>42</v>
      </c>
      <c r="W379" s="8" t="s">
        <v>64</v>
      </c>
      <c r="X379" t="s">
        <v>42</v>
      </c>
      <c r="Y379" s="8">
        <v>0</v>
      </c>
      <c r="Z379">
        <v>0</v>
      </c>
      <c r="AA379">
        <v>100</v>
      </c>
      <c r="AB379">
        <v>0</v>
      </c>
      <c r="AC379" s="5">
        <v>2017</v>
      </c>
      <c r="AD379" s="1">
        <v>2018</v>
      </c>
      <c r="AE379" s="6">
        <v>1</v>
      </c>
      <c r="AF379">
        <v>1</v>
      </c>
      <c r="AG379" t="s">
        <v>64</v>
      </c>
      <c r="AH379" s="1" t="s">
        <v>64</v>
      </c>
    </row>
    <row r="380" spans="1:34" ht="15" customHeight="1">
      <c r="A380" t="s">
        <v>628</v>
      </c>
      <c r="B380" s="15" t="s">
        <v>629</v>
      </c>
      <c r="C380" s="1">
        <v>3</v>
      </c>
      <c r="D380" t="s">
        <v>397</v>
      </c>
      <c r="E380" t="s">
        <v>397</v>
      </c>
      <c r="F380" t="s">
        <v>39</v>
      </c>
      <c r="G380" t="s">
        <v>40</v>
      </c>
      <c r="H380" t="s">
        <v>428</v>
      </c>
      <c r="I380" t="s">
        <v>42</v>
      </c>
      <c r="J380" t="s">
        <v>42</v>
      </c>
      <c r="K380" t="s">
        <v>42</v>
      </c>
      <c r="L380" t="s">
        <v>42</v>
      </c>
      <c r="M380" t="s">
        <v>42</v>
      </c>
      <c r="N380" s="39" t="s">
        <v>623</v>
      </c>
      <c r="O380" t="s">
        <v>86</v>
      </c>
      <c r="P380" s="39" t="s">
        <v>637</v>
      </c>
      <c r="Q380" t="s">
        <v>42</v>
      </c>
      <c r="R380" t="s">
        <v>109</v>
      </c>
      <c r="S380" t="s">
        <v>88</v>
      </c>
      <c r="T380" t="s">
        <v>632</v>
      </c>
      <c r="U380" t="s">
        <v>633</v>
      </c>
      <c r="V380" t="s">
        <v>42</v>
      </c>
      <c r="W380" s="8" t="s">
        <v>64</v>
      </c>
      <c r="X380" t="s">
        <v>42</v>
      </c>
      <c r="Y380" s="8">
        <v>0</v>
      </c>
      <c r="Z380">
        <v>0</v>
      </c>
      <c r="AA380">
        <v>100</v>
      </c>
      <c r="AB380">
        <v>0</v>
      </c>
      <c r="AC380" s="5">
        <v>2017</v>
      </c>
      <c r="AD380" s="1">
        <v>2018</v>
      </c>
      <c r="AE380" s="6">
        <v>1</v>
      </c>
      <c r="AF380">
        <v>1</v>
      </c>
      <c r="AG380" t="s">
        <v>64</v>
      </c>
      <c r="AH380" s="1" t="s">
        <v>64</v>
      </c>
    </row>
    <row r="381" spans="1:34" ht="15" customHeight="1">
      <c r="A381" t="s">
        <v>628</v>
      </c>
      <c r="B381" s="15" t="s">
        <v>629</v>
      </c>
      <c r="C381" s="1">
        <v>4</v>
      </c>
      <c r="D381" t="s">
        <v>397</v>
      </c>
      <c r="E381" t="s">
        <v>397</v>
      </c>
      <c r="F381" t="s">
        <v>39</v>
      </c>
      <c r="G381" t="s">
        <v>40</v>
      </c>
      <c r="H381" t="s">
        <v>428</v>
      </c>
      <c r="I381" t="s">
        <v>42</v>
      </c>
      <c r="J381" t="s">
        <v>42</v>
      </c>
      <c r="K381" t="s">
        <v>42</v>
      </c>
      <c r="L381" t="s">
        <v>42</v>
      </c>
      <c r="M381" t="s">
        <v>42</v>
      </c>
      <c r="N381" s="39" t="s">
        <v>623</v>
      </c>
      <c r="O381" t="s">
        <v>86</v>
      </c>
      <c r="P381" s="39" t="s">
        <v>638</v>
      </c>
      <c r="Q381" t="s">
        <v>42</v>
      </c>
      <c r="R381" t="s">
        <v>109</v>
      </c>
      <c r="S381" t="s">
        <v>88</v>
      </c>
      <c r="T381" t="s">
        <v>632</v>
      </c>
      <c r="U381" t="s">
        <v>633</v>
      </c>
      <c r="V381" t="s">
        <v>42</v>
      </c>
      <c r="W381" s="8" t="s">
        <v>64</v>
      </c>
      <c r="X381" t="s">
        <v>42</v>
      </c>
      <c r="Y381" s="8">
        <v>0</v>
      </c>
      <c r="Z381">
        <v>0</v>
      </c>
      <c r="AA381">
        <v>100</v>
      </c>
      <c r="AB381">
        <v>0</v>
      </c>
      <c r="AC381" s="5">
        <v>2017</v>
      </c>
      <c r="AD381" s="1">
        <v>2018</v>
      </c>
      <c r="AE381" s="6">
        <v>1</v>
      </c>
      <c r="AF381">
        <v>1</v>
      </c>
      <c r="AG381" t="s">
        <v>64</v>
      </c>
      <c r="AH381" s="1" t="s">
        <v>64</v>
      </c>
    </row>
    <row r="382" spans="1:34" ht="15" customHeight="1">
      <c r="A382" t="s">
        <v>628</v>
      </c>
      <c r="B382" s="15" t="s">
        <v>629</v>
      </c>
      <c r="C382" s="1">
        <v>5</v>
      </c>
      <c r="D382" t="s">
        <v>397</v>
      </c>
      <c r="E382" t="s">
        <v>397</v>
      </c>
      <c r="F382" t="s">
        <v>39</v>
      </c>
      <c r="G382" t="s">
        <v>40</v>
      </c>
      <c r="H382" t="s">
        <v>428</v>
      </c>
      <c r="I382" t="s">
        <v>42</v>
      </c>
      <c r="J382" t="s">
        <v>42</v>
      </c>
      <c r="K382" t="s">
        <v>42</v>
      </c>
      <c r="L382" t="s">
        <v>42</v>
      </c>
      <c r="M382" t="s">
        <v>42</v>
      </c>
      <c r="N382" s="39" t="s">
        <v>623</v>
      </c>
      <c r="O382" t="s">
        <v>86</v>
      </c>
      <c r="P382" s="39" t="s">
        <v>639</v>
      </c>
      <c r="Q382" t="s">
        <v>42</v>
      </c>
      <c r="R382" t="s">
        <v>109</v>
      </c>
      <c r="S382" t="s">
        <v>88</v>
      </c>
      <c r="T382" t="s">
        <v>632</v>
      </c>
      <c r="U382" t="s">
        <v>633</v>
      </c>
      <c r="V382" t="s">
        <v>42</v>
      </c>
      <c r="W382" s="8" t="s">
        <v>64</v>
      </c>
      <c r="X382" t="s">
        <v>42</v>
      </c>
      <c r="Y382" s="8">
        <v>0</v>
      </c>
      <c r="Z382">
        <v>0</v>
      </c>
      <c r="AA382">
        <v>100</v>
      </c>
      <c r="AB382">
        <v>0</v>
      </c>
      <c r="AC382" s="5">
        <v>2017</v>
      </c>
      <c r="AD382" s="1">
        <v>2018</v>
      </c>
      <c r="AE382" s="6">
        <v>1</v>
      </c>
      <c r="AF382">
        <v>1</v>
      </c>
      <c r="AG382" t="s">
        <v>64</v>
      </c>
      <c r="AH382" s="1" t="s">
        <v>64</v>
      </c>
    </row>
    <row r="383" spans="1:34" s="9" customFormat="1" ht="15" customHeight="1">
      <c r="A383" s="9" t="s">
        <v>628</v>
      </c>
      <c r="B383" s="17" t="s">
        <v>629</v>
      </c>
      <c r="C383" s="10">
        <v>6</v>
      </c>
      <c r="D383" s="9" t="s">
        <v>397</v>
      </c>
      <c r="E383" s="9" t="s">
        <v>397</v>
      </c>
      <c r="F383" s="9" t="s">
        <v>39</v>
      </c>
      <c r="G383" s="9" t="s">
        <v>40</v>
      </c>
      <c r="H383" s="9" t="s">
        <v>428</v>
      </c>
      <c r="I383" s="9" t="s">
        <v>42</v>
      </c>
      <c r="J383" s="9" t="s">
        <v>42</v>
      </c>
      <c r="K383" s="9" t="s">
        <v>42</v>
      </c>
      <c r="L383" s="9" t="s">
        <v>42</v>
      </c>
      <c r="M383" s="9" t="s">
        <v>42</v>
      </c>
      <c r="N383" s="40" t="s">
        <v>623</v>
      </c>
      <c r="O383" s="9" t="s">
        <v>86</v>
      </c>
      <c r="P383" s="40" t="s">
        <v>640</v>
      </c>
      <c r="Q383" t="s">
        <v>42</v>
      </c>
      <c r="R383" s="9" t="s">
        <v>109</v>
      </c>
      <c r="S383" s="9" t="s">
        <v>88</v>
      </c>
      <c r="T383" s="9" t="s">
        <v>632</v>
      </c>
      <c r="U383" s="9" t="s">
        <v>633</v>
      </c>
      <c r="V383" t="s">
        <v>42</v>
      </c>
      <c r="W383" s="11" t="s">
        <v>64</v>
      </c>
      <c r="X383" s="9" t="s">
        <v>42</v>
      </c>
      <c r="Y383" s="11">
        <v>0</v>
      </c>
      <c r="Z383" s="9">
        <v>0</v>
      </c>
      <c r="AA383" s="9">
        <v>100</v>
      </c>
      <c r="AB383" s="9">
        <v>0</v>
      </c>
      <c r="AC383" s="12">
        <v>2017</v>
      </c>
      <c r="AD383" s="10">
        <v>2018</v>
      </c>
      <c r="AE383" s="13">
        <v>1</v>
      </c>
      <c r="AF383" s="9">
        <v>1</v>
      </c>
      <c r="AG383" s="9" t="s">
        <v>64</v>
      </c>
      <c r="AH383" s="10" t="s">
        <v>64</v>
      </c>
    </row>
    <row r="384" spans="1:34" s="9" customFormat="1" ht="15" customHeight="1">
      <c r="A384" s="9" t="s">
        <v>641</v>
      </c>
      <c r="B384" s="9" t="s">
        <v>642</v>
      </c>
      <c r="C384" s="10">
        <v>1</v>
      </c>
      <c r="D384" s="9" t="s">
        <v>397</v>
      </c>
      <c r="E384" s="9" t="s">
        <v>397</v>
      </c>
      <c r="F384" s="9" t="s">
        <v>116</v>
      </c>
      <c r="G384" s="9" t="s">
        <v>40</v>
      </c>
      <c r="H384" s="9" t="s">
        <v>42</v>
      </c>
      <c r="I384" s="9" t="s">
        <v>42</v>
      </c>
      <c r="J384" s="9" t="s">
        <v>42</v>
      </c>
      <c r="K384" s="9" t="s">
        <v>622</v>
      </c>
      <c r="L384" s="9" t="s">
        <v>42</v>
      </c>
      <c r="M384" s="10" t="s">
        <v>42</v>
      </c>
      <c r="N384" s="40" t="s">
        <v>402</v>
      </c>
      <c r="O384" s="9" t="s">
        <v>44</v>
      </c>
      <c r="P384" s="40" t="s">
        <v>402</v>
      </c>
      <c r="Q384" s="9" t="s">
        <v>108</v>
      </c>
      <c r="R384" s="9" t="s">
        <v>109</v>
      </c>
      <c r="S384" s="9" t="s">
        <v>42</v>
      </c>
      <c r="T384" s="9" t="s">
        <v>643</v>
      </c>
      <c r="U384" s="9" t="s">
        <v>42</v>
      </c>
      <c r="V384" s="9" t="s">
        <v>42</v>
      </c>
      <c r="W384" s="11" t="s">
        <v>50</v>
      </c>
      <c r="X384" s="9" t="s">
        <v>644</v>
      </c>
      <c r="Y384" s="11">
        <v>0</v>
      </c>
      <c r="Z384" s="9">
        <v>0</v>
      </c>
      <c r="AA384" s="9">
        <v>102</v>
      </c>
      <c r="AB384" s="9">
        <v>0</v>
      </c>
      <c r="AC384" s="12">
        <v>2000</v>
      </c>
      <c r="AD384" s="10">
        <v>2016</v>
      </c>
      <c r="AE384" s="13">
        <v>16</v>
      </c>
      <c r="AF384" s="9">
        <v>16</v>
      </c>
      <c r="AG384" s="9" t="s">
        <v>64</v>
      </c>
      <c r="AH384" s="10" t="s">
        <v>64</v>
      </c>
    </row>
    <row r="385" spans="1:34" ht="15" customHeight="1">
      <c r="A385" t="s">
        <v>645</v>
      </c>
      <c r="B385" t="s">
        <v>646</v>
      </c>
      <c r="C385" s="1">
        <v>1</v>
      </c>
      <c r="D385" t="s">
        <v>440</v>
      </c>
      <c r="E385" t="s">
        <v>38</v>
      </c>
      <c r="F385" t="s">
        <v>39</v>
      </c>
      <c r="G385" t="s">
        <v>40</v>
      </c>
      <c r="H385" t="s">
        <v>41</v>
      </c>
      <c r="I385" t="s">
        <v>42</v>
      </c>
      <c r="J385" t="s">
        <v>42</v>
      </c>
      <c r="K385" t="s">
        <v>42</v>
      </c>
      <c r="L385" t="s">
        <v>42</v>
      </c>
      <c r="M385" s="1" t="s">
        <v>42</v>
      </c>
      <c r="N385" s="39" t="s">
        <v>57</v>
      </c>
      <c r="O385" t="s">
        <v>44</v>
      </c>
      <c r="P385" s="39" t="s">
        <v>57</v>
      </c>
      <c r="Q385" t="s">
        <v>647</v>
      </c>
      <c r="R385" t="s">
        <v>42</v>
      </c>
      <c r="S385" t="s">
        <v>42</v>
      </c>
      <c r="T385" t="s">
        <v>42</v>
      </c>
      <c r="U385" t="s">
        <v>42</v>
      </c>
      <c r="V385" t="s">
        <v>42</v>
      </c>
      <c r="W385" s="8" t="s">
        <v>50</v>
      </c>
      <c r="X385" s="8" t="s">
        <v>648</v>
      </c>
      <c r="Y385" s="8">
        <v>1</v>
      </c>
      <c r="Z385">
        <v>6</v>
      </c>
      <c r="AA385">
        <v>6</v>
      </c>
      <c r="AB385">
        <v>0</v>
      </c>
      <c r="AC385" s="5">
        <v>2011</v>
      </c>
      <c r="AD385" s="1">
        <v>2012</v>
      </c>
      <c r="AE385" s="6" t="s">
        <v>72</v>
      </c>
      <c r="AF385">
        <v>1</v>
      </c>
      <c r="AG385" t="s">
        <v>64</v>
      </c>
      <c r="AH385" s="1" t="s">
        <v>64</v>
      </c>
    </row>
    <row r="386" spans="1:34" ht="15" customHeight="1">
      <c r="A386" t="s">
        <v>645</v>
      </c>
      <c r="B386" t="s">
        <v>646</v>
      </c>
      <c r="C386" s="1">
        <v>2</v>
      </c>
      <c r="D386" t="s">
        <v>440</v>
      </c>
      <c r="E386" t="s">
        <v>426</v>
      </c>
      <c r="F386" t="s">
        <v>39</v>
      </c>
      <c r="G386" t="s">
        <v>184</v>
      </c>
      <c r="H386" t="s">
        <v>428</v>
      </c>
      <c r="I386" t="s">
        <v>42</v>
      </c>
      <c r="J386" t="s">
        <v>42</v>
      </c>
      <c r="K386" t="s">
        <v>42</v>
      </c>
      <c r="L386" t="s">
        <v>42</v>
      </c>
      <c r="M386" t="s">
        <v>42</v>
      </c>
      <c r="N386" s="39" t="s">
        <v>430</v>
      </c>
      <c r="O386" t="s">
        <v>86</v>
      </c>
      <c r="P386" s="39" t="s">
        <v>431</v>
      </c>
      <c r="Q386" t="s">
        <v>42</v>
      </c>
      <c r="R386" t="s">
        <v>42</v>
      </c>
      <c r="S386" t="s">
        <v>42</v>
      </c>
      <c r="T386" t="s">
        <v>42</v>
      </c>
      <c r="U386" t="s">
        <v>649</v>
      </c>
      <c r="V386" t="s">
        <v>650</v>
      </c>
      <c r="W386" s="8" t="s">
        <v>64</v>
      </c>
      <c r="X386" t="s">
        <v>42</v>
      </c>
      <c r="Y386" s="8">
        <v>0</v>
      </c>
      <c r="Z386">
        <v>0</v>
      </c>
      <c r="AA386">
        <v>6</v>
      </c>
      <c r="AB386">
        <v>0</v>
      </c>
      <c r="AC386" s="5">
        <v>2010</v>
      </c>
      <c r="AD386" s="1">
        <v>2011</v>
      </c>
      <c r="AE386" s="6" t="s">
        <v>72</v>
      </c>
      <c r="AF386">
        <v>1</v>
      </c>
      <c r="AG386" t="s">
        <v>64</v>
      </c>
      <c r="AH386" s="1" t="s">
        <v>64</v>
      </c>
    </row>
    <row r="387" spans="1:34" ht="15" customHeight="1">
      <c r="A387" t="s">
        <v>645</v>
      </c>
      <c r="B387" t="s">
        <v>646</v>
      </c>
      <c r="C387" s="1">
        <v>3</v>
      </c>
      <c r="D387" t="s">
        <v>440</v>
      </c>
      <c r="E387" t="s">
        <v>426</v>
      </c>
      <c r="F387" t="s">
        <v>39</v>
      </c>
      <c r="G387" t="s">
        <v>184</v>
      </c>
      <c r="H387" t="s">
        <v>428</v>
      </c>
      <c r="I387" t="s">
        <v>42</v>
      </c>
      <c r="J387" t="s">
        <v>42</v>
      </c>
      <c r="K387" t="s">
        <v>42</v>
      </c>
      <c r="L387" t="s">
        <v>42</v>
      </c>
      <c r="M387" t="s">
        <v>42</v>
      </c>
      <c r="N387" s="39" t="s">
        <v>430</v>
      </c>
      <c r="O387" t="s">
        <v>86</v>
      </c>
      <c r="P387" s="39" t="s">
        <v>434</v>
      </c>
      <c r="Q387" t="s">
        <v>42</v>
      </c>
      <c r="R387" t="s">
        <v>42</v>
      </c>
      <c r="S387" t="s">
        <v>42</v>
      </c>
      <c r="T387" t="s">
        <v>42</v>
      </c>
      <c r="U387" t="s">
        <v>649</v>
      </c>
      <c r="V387" t="s">
        <v>650</v>
      </c>
      <c r="W387" s="8" t="s">
        <v>64</v>
      </c>
      <c r="X387" t="s">
        <v>42</v>
      </c>
      <c r="Y387" s="8">
        <v>0</v>
      </c>
      <c r="Z387">
        <v>0</v>
      </c>
      <c r="AA387">
        <v>6</v>
      </c>
      <c r="AB387">
        <v>0</v>
      </c>
      <c r="AC387" s="5">
        <v>2010</v>
      </c>
      <c r="AD387" s="1">
        <v>2011</v>
      </c>
      <c r="AE387" s="6" t="s">
        <v>72</v>
      </c>
      <c r="AF387">
        <v>1</v>
      </c>
      <c r="AG387" t="s">
        <v>64</v>
      </c>
      <c r="AH387" s="1" t="s">
        <v>64</v>
      </c>
    </row>
    <row r="388" spans="1:34" s="9" customFormat="1" ht="15" customHeight="1">
      <c r="A388" s="9" t="s">
        <v>645</v>
      </c>
      <c r="B388" s="9" t="s">
        <v>646</v>
      </c>
      <c r="C388" s="10">
        <v>4</v>
      </c>
      <c r="D388" s="9" t="s">
        <v>440</v>
      </c>
      <c r="E388" s="9" t="s">
        <v>426</v>
      </c>
      <c r="F388" s="9" t="s">
        <v>39</v>
      </c>
      <c r="G388" s="9" t="s">
        <v>184</v>
      </c>
      <c r="H388" s="9" t="s">
        <v>428</v>
      </c>
      <c r="I388" s="9" t="s">
        <v>42</v>
      </c>
      <c r="J388" s="9" t="s">
        <v>42</v>
      </c>
      <c r="K388" s="9" t="s">
        <v>42</v>
      </c>
      <c r="L388" s="9" t="s">
        <v>42</v>
      </c>
      <c r="M388" s="9" t="s">
        <v>42</v>
      </c>
      <c r="N388" s="40" t="s">
        <v>430</v>
      </c>
      <c r="O388" s="9" t="s">
        <v>86</v>
      </c>
      <c r="P388" s="40" t="s">
        <v>456</v>
      </c>
      <c r="Q388" s="9" t="s">
        <v>42</v>
      </c>
      <c r="R388" s="9" t="s">
        <v>42</v>
      </c>
      <c r="S388" s="9" t="s">
        <v>42</v>
      </c>
      <c r="T388" s="9" t="s">
        <v>42</v>
      </c>
      <c r="U388" s="9" t="s">
        <v>649</v>
      </c>
      <c r="V388" s="9" t="s">
        <v>650</v>
      </c>
      <c r="W388" s="11" t="s">
        <v>64</v>
      </c>
      <c r="X388" s="9" t="s">
        <v>42</v>
      </c>
      <c r="Y388" s="11">
        <v>0</v>
      </c>
      <c r="Z388" s="9">
        <v>0</v>
      </c>
      <c r="AA388" s="9">
        <v>6</v>
      </c>
      <c r="AB388" s="9">
        <v>0</v>
      </c>
      <c r="AC388" s="12">
        <v>2010</v>
      </c>
      <c r="AD388" s="10">
        <v>2011</v>
      </c>
      <c r="AE388" s="13" t="s">
        <v>72</v>
      </c>
      <c r="AF388" s="9">
        <v>1</v>
      </c>
      <c r="AG388" s="9" t="s">
        <v>64</v>
      </c>
      <c r="AH388" s="10" t="s">
        <v>64</v>
      </c>
    </row>
    <row r="389" spans="1:34" ht="15" customHeight="1">
      <c r="A389" t="s">
        <v>651</v>
      </c>
      <c r="B389" t="s">
        <v>652</v>
      </c>
      <c r="C389" s="1">
        <v>1</v>
      </c>
      <c r="D389" t="s">
        <v>38</v>
      </c>
      <c r="E389" t="s">
        <v>38</v>
      </c>
      <c r="F389" t="s">
        <v>116</v>
      </c>
      <c r="G389" t="s">
        <v>40</v>
      </c>
      <c r="H389" t="s">
        <v>42</v>
      </c>
      <c r="I389" t="s">
        <v>42</v>
      </c>
      <c r="J389" t="s">
        <v>42</v>
      </c>
      <c r="K389" t="s">
        <v>653</v>
      </c>
      <c r="L389" t="s">
        <v>654</v>
      </c>
      <c r="M389" s="1" t="s">
        <v>42</v>
      </c>
      <c r="N389" s="39" t="s">
        <v>359</v>
      </c>
      <c r="O389" t="s">
        <v>44</v>
      </c>
      <c r="P389" s="39" t="s">
        <v>655</v>
      </c>
      <c r="Q389" t="s">
        <v>42</v>
      </c>
      <c r="R389" t="s">
        <v>42</v>
      </c>
      <c r="S389" t="s">
        <v>656</v>
      </c>
      <c r="T389" t="s">
        <v>657</v>
      </c>
      <c r="U389" t="s">
        <v>42</v>
      </c>
      <c r="V389" t="s">
        <v>42</v>
      </c>
      <c r="W389" s="8" t="s">
        <v>50</v>
      </c>
      <c r="X389" t="s">
        <v>658</v>
      </c>
      <c r="Y389" s="8" t="s">
        <v>659</v>
      </c>
      <c r="Z389" t="s">
        <v>659</v>
      </c>
      <c r="AA389" t="s">
        <v>659</v>
      </c>
      <c r="AB389" t="s">
        <v>659</v>
      </c>
      <c r="AC389" s="5">
        <v>1976</v>
      </c>
      <c r="AD389" s="1">
        <v>2018</v>
      </c>
      <c r="AE389" s="6">
        <f t="shared" ref="AE389:AE406" si="9">AD389-AC389</f>
        <v>42</v>
      </c>
      <c r="AF389">
        <v>42</v>
      </c>
      <c r="AG389" t="s">
        <v>64</v>
      </c>
      <c r="AH389" t="s">
        <v>64</v>
      </c>
    </row>
    <row r="390" spans="1:34" ht="15" customHeight="1">
      <c r="A390" t="s">
        <v>651</v>
      </c>
      <c r="B390" t="s">
        <v>652</v>
      </c>
      <c r="C390" s="1">
        <v>2</v>
      </c>
      <c r="D390" t="s">
        <v>38</v>
      </c>
      <c r="E390" t="s">
        <v>38</v>
      </c>
      <c r="F390" t="s">
        <v>116</v>
      </c>
      <c r="G390" t="s">
        <v>40</v>
      </c>
      <c r="H390" t="s">
        <v>42</v>
      </c>
      <c r="I390" t="s">
        <v>42</v>
      </c>
      <c r="J390" t="s">
        <v>42</v>
      </c>
      <c r="K390" t="s">
        <v>653</v>
      </c>
      <c r="L390" t="s">
        <v>654</v>
      </c>
      <c r="M390" s="1" t="s">
        <v>42</v>
      </c>
      <c r="N390" s="39" t="s">
        <v>359</v>
      </c>
      <c r="O390" t="s">
        <v>86</v>
      </c>
      <c r="P390" s="39" t="s">
        <v>660</v>
      </c>
      <c r="Q390" t="s">
        <v>42</v>
      </c>
      <c r="R390" t="s">
        <v>42</v>
      </c>
      <c r="S390" t="s">
        <v>661</v>
      </c>
      <c r="T390" t="s">
        <v>657</v>
      </c>
      <c r="U390" t="s">
        <v>42</v>
      </c>
      <c r="V390" t="s">
        <v>42</v>
      </c>
      <c r="W390" s="8" t="s">
        <v>64</v>
      </c>
      <c r="X390" t="s">
        <v>42</v>
      </c>
      <c r="Y390" s="8" t="s">
        <v>659</v>
      </c>
      <c r="Z390" t="s">
        <v>659</v>
      </c>
      <c r="AA390" t="s">
        <v>659</v>
      </c>
      <c r="AB390" t="s">
        <v>659</v>
      </c>
      <c r="AC390" s="5">
        <v>1976</v>
      </c>
      <c r="AD390" s="1">
        <v>2018</v>
      </c>
      <c r="AE390" s="6">
        <f t="shared" si="9"/>
        <v>42</v>
      </c>
      <c r="AF390">
        <v>1</v>
      </c>
      <c r="AG390" t="s">
        <v>64</v>
      </c>
      <c r="AH390" t="s">
        <v>64</v>
      </c>
    </row>
    <row r="391" spans="1:34" s="9" customFormat="1" ht="15" customHeight="1">
      <c r="A391" s="9" t="s">
        <v>651</v>
      </c>
      <c r="B391" s="9" t="s">
        <v>652</v>
      </c>
      <c r="C391" s="10">
        <v>3</v>
      </c>
      <c r="D391" s="9" t="s">
        <v>38</v>
      </c>
      <c r="E391" s="9" t="s">
        <v>38</v>
      </c>
      <c r="F391" s="9" t="s">
        <v>116</v>
      </c>
      <c r="G391" s="9" t="s">
        <v>40</v>
      </c>
      <c r="H391" s="9" t="s">
        <v>42</v>
      </c>
      <c r="I391" s="9" t="s">
        <v>42</v>
      </c>
      <c r="J391" s="9" t="s">
        <v>42</v>
      </c>
      <c r="K391" s="9" t="s">
        <v>653</v>
      </c>
      <c r="L391" s="9" t="s">
        <v>654</v>
      </c>
      <c r="M391" s="10" t="s">
        <v>42</v>
      </c>
      <c r="N391" s="40" t="s">
        <v>359</v>
      </c>
      <c r="O391" s="9" t="s">
        <v>86</v>
      </c>
      <c r="P391" s="40" t="s">
        <v>655</v>
      </c>
      <c r="Q391" s="9" t="s">
        <v>42</v>
      </c>
      <c r="R391" s="9" t="s">
        <v>42</v>
      </c>
      <c r="S391" s="9" t="s">
        <v>662</v>
      </c>
      <c r="T391" s="9" t="s">
        <v>663</v>
      </c>
      <c r="U391" s="9" t="s">
        <v>42</v>
      </c>
      <c r="V391" s="9" t="s">
        <v>42</v>
      </c>
      <c r="W391" s="11" t="s">
        <v>64</v>
      </c>
      <c r="X391" s="9" t="s">
        <v>42</v>
      </c>
      <c r="Y391" s="11" t="s">
        <v>659</v>
      </c>
      <c r="Z391" s="9" t="s">
        <v>659</v>
      </c>
      <c r="AA391" s="9" t="s">
        <v>659</v>
      </c>
      <c r="AB391" s="9" t="s">
        <v>659</v>
      </c>
      <c r="AC391" s="12">
        <v>1976</v>
      </c>
      <c r="AD391" s="10">
        <v>2018</v>
      </c>
      <c r="AE391" s="13">
        <f t="shared" si="9"/>
        <v>42</v>
      </c>
      <c r="AF391" s="9">
        <v>1</v>
      </c>
      <c r="AG391" s="9" t="s">
        <v>64</v>
      </c>
      <c r="AH391" s="9" t="s">
        <v>64</v>
      </c>
    </row>
    <row r="392" spans="1:34" ht="15" customHeight="1">
      <c r="A392" t="s">
        <v>664</v>
      </c>
      <c r="B392" t="s">
        <v>665</v>
      </c>
      <c r="C392" s="1">
        <v>1</v>
      </c>
      <c r="D392" t="s">
        <v>38</v>
      </c>
      <c r="E392" t="s">
        <v>38</v>
      </c>
      <c r="F392" t="s">
        <v>123</v>
      </c>
      <c r="G392" t="s">
        <v>40</v>
      </c>
      <c r="H392" t="s">
        <v>185</v>
      </c>
      <c r="I392" t="s">
        <v>42</v>
      </c>
      <c r="J392" t="s">
        <v>42</v>
      </c>
      <c r="K392" t="s">
        <v>666</v>
      </c>
      <c r="L392" t="s">
        <v>667</v>
      </c>
      <c r="M392" s="1" t="s">
        <v>668</v>
      </c>
      <c r="N392" s="39" t="s">
        <v>359</v>
      </c>
      <c r="O392" t="s">
        <v>86</v>
      </c>
      <c r="P392" s="39" t="s">
        <v>669</v>
      </c>
      <c r="Q392" t="s">
        <v>670</v>
      </c>
      <c r="R392" t="s">
        <v>671</v>
      </c>
      <c r="S392" t="s">
        <v>672</v>
      </c>
      <c r="T392" t="s">
        <v>42</v>
      </c>
      <c r="U392" t="s">
        <v>42</v>
      </c>
      <c r="V392" t="s">
        <v>42</v>
      </c>
      <c r="W392" s="8" t="s">
        <v>64</v>
      </c>
      <c r="X392" t="s">
        <v>42</v>
      </c>
      <c r="Y392" s="8">
        <v>2</v>
      </c>
      <c r="Z392">
        <v>1</v>
      </c>
      <c r="AA392">
        <v>0</v>
      </c>
      <c r="AB392">
        <v>0</v>
      </c>
      <c r="AC392" s="5">
        <v>2003</v>
      </c>
      <c r="AD392" s="1">
        <v>2016</v>
      </c>
      <c r="AE392" s="6">
        <f t="shared" si="9"/>
        <v>13</v>
      </c>
      <c r="AF392">
        <v>1</v>
      </c>
      <c r="AG392" t="s">
        <v>64</v>
      </c>
      <c r="AH392" s="1" t="s">
        <v>64</v>
      </c>
    </row>
    <row r="393" spans="1:34" s="9" customFormat="1" ht="15" customHeight="1">
      <c r="A393" s="9" t="s">
        <v>664</v>
      </c>
      <c r="B393" s="9" t="s">
        <v>665</v>
      </c>
      <c r="C393" s="10">
        <v>2</v>
      </c>
      <c r="D393" s="9" t="s">
        <v>38</v>
      </c>
      <c r="E393" s="9" t="s">
        <v>38</v>
      </c>
      <c r="F393" s="9" t="s">
        <v>123</v>
      </c>
      <c r="G393" s="9" t="s">
        <v>40</v>
      </c>
      <c r="H393" s="9" t="s">
        <v>185</v>
      </c>
      <c r="I393" s="9" t="s">
        <v>42</v>
      </c>
      <c r="J393" s="9" t="s">
        <v>42</v>
      </c>
      <c r="K393" s="9" t="s">
        <v>666</v>
      </c>
      <c r="L393" s="9" t="s">
        <v>667</v>
      </c>
      <c r="M393" s="10" t="s">
        <v>668</v>
      </c>
      <c r="N393" s="40" t="s">
        <v>132</v>
      </c>
      <c r="O393" s="9" t="s">
        <v>86</v>
      </c>
      <c r="P393" s="40" t="s">
        <v>673</v>
      </c>
      <c r="Q393" s="9" t="s">
        <v>670</v>
      </c>
      <c r="R393" s="9" t="s">
        <v>671</v>
      </c>
      <c r="S393" s="9" t="s">
        <v>88</v>
      </c>
      <c r="T393" s="9" t="s">
        <v>42</v>
      </c>
      <c r="U393" s="9" t="s">
        <v>42</v>
      </c>
      <c r="V393" s="9" t="s">
        <v>42</v>
      </c>
      <c r="W393" s="11" t="s">
        <v>64</v>
      </c>
      <c r="X393" s="9" t="s">
        <v>42</v>
      </c>
      <c r="Y393" s="11">
        <v>2</v>
      </c>
      <c r="Z393" s="9">
        <v>1</v>
      </c>
      <c r="AA393" s="9">
        <v>0</v>
      </c>
      <c r="AB393" s="9">
        <v>0</v>
      </c>
      <c r="AC393" s="12">
        <v>2003</v>
      </c>
      <c r="AD393" s="10">
        <v>2016</v>
      </c>
      <c r="AE393" s="13">
        <f t="shared" si="9"/>
        <v>13</v>
      </c>
      <c r="AF393" s="9">
        <v>1</v>
      </c>
      <c r="AG393" s="9" t="s">
        <v>64</v>
      </c>
      <c r="AH393" s="10" t="s">
        <v>64</v>
      </c>
    </row>
    <row r="394" spans="1:34" ht="15" customHeight="1">
      <c r="A394" t="s">
        <v>674</v>
      </c>
      <c r="B394" t="s">
        <v>675</v>
      </c>
      <c r="C394" s="24">
        <v>1</v>
      </c>
      <c r="D394" t="s">
        <v>676</v>
      </c>
      <c r="E394" t="s">
        <v>38</v>
      </c>
      <c r="F394" t="s">
        <v>123</v>
      </c>
      <c r="G394" t="s">
        <v>40</v>
      </c>
      <c r="H394" t="s">
        <v>427</v>
      </c>
      <c r="I394" t="s">
        <v>42</v>
      </c>
      <c r="J394" t="s">
        <v>42</v>
      </c>
      <c r="K394" t="s">
        <v>521</v>
      </c>
      <c r="L394" t="s">
        <v>677</v>
      </c>
      <c r="M394" s="1" t="s">
        <v>42</v>
      </c>
      <c r="N394" s="39" t="s">
        <v>402</v>
      </c>
      <c r="O394" t="s">
        <v>44</v>
      </c>
      <c r="P394" s="39" t="s">
        <v>678</v>
      </c>
      <c r="Q394" t="s">
        <v>42</v>
      </c>
      <c r="R394" t="s">
        <v>42</v>
      </c>
      <c r="S394" t="s">
        <v>679</v>
      </c>
      <c r="T394" t="s">
        <v>42</v>
      </c>
      <c r="U394" t="s">
        <v>680</v>
      </c>
      <c r="V394" t="s">
        <v>681</v>
      </c>
      <c r="W394" s="8" t="s">
        <v>50</v>
      </c>
      <c r="X394" t="s">
        <v>682</v>
      </c>
      <c r="Y394" s="8">
        <v>0</v>
      </c>
      <c r="Z394">
        <v>0</v>
      </c>
      <c r="AA394">
        <v>109</v>
      </c>
      <c r="AB394">
        <v>0</v>
      </c>
      <c r="AC394" s="5">
        <v>1997</v>
      </c>
      <c r="AD394" s="1">
        <v>2015</v>
      </c>
      <c r="AE394" s="6">
        <f t="shared" si="9"/>
        <v>18</v>
      </c>
      <c r="AF394">
        <v>1</v>
      </c>
      <c r="AG394" t="s">
        <v>64</v>
      </c>
      <c r="AH394" s="1" t="s">
        <v>64</v>
      </c>
    </row>
    <row r="395" spans="1:34" ht="15" customHeight="1">
      <c r="A395" t="s">
        <v>674</v>
      </c>
      <c r="B395" t="s">
        <v>675</v>
      </c>
      <c r="C395" s="24">
        <v>2</v>
      </c>
      <c r="D395" t="s">
        <v>676</v>
      </c>
      <c r="E395" t="s">
        <v>38</v>
      </c>
      <c r="F395" t="s">
        <v>123</v>
      </c>
      <c r="G395" t="s">
        <v>40</v>
      </c>
      <c r="H395" t="s">
        <v>427</v>
      </c>
      <c r="I395" t="s">
        <v>42</v>
      </c>
      <c r="J395" t="s">
        <v>42</v>
      </c>
      <c r="K395" t="s">
        <v>521</v>
      </c>
      <c r="L395" t="s">
        <v>677</v>
      </c>
      <c r="M395" s="1" t="s">
        <v>42</v>
      </c>
      <c r="N395" s="39" t="s">
        <v>402</v>
      </c>
      <c r="O395" t="s">
        <v>44</v>
      </c>
      <c r="P395" s="39" t="s">
        <v>683</v>
      </c>
      <c r="Q395" t="s">
        <v>42</v>
      </c>
      <c r="R395" t="s">
        <v>42</v>
      </c>
      <c r="S395" t="s">
        <v>679</v>
      </c>
      <c r="T395" t="s">
        <v>42</v>
      </c>
      <c r="U395" t="s">
        <v>680</v>
      </c>
      <c r="V395" t="s">
        <v>681</v>
      </c>
      <c r="W395" s="8" t="s">
        <v>50</v>
      </c>
      <c r="X395" t="s">
        <v>682</v>
      </c>
      <c r="Y395" s="8">
        <v>0</v>
      </c>
      <c r="Z395">
        <v>0</v>
      </c>
      <c r="AA395">
        <v>109</v>
      </c>
      <c r="AB395">
        <v>0</v>
      </c>
      <c r="AC395" s="5">
        <v>1997</v>
      </c>
      <c r="AD395" s="1">
        <v>2015</v>
      </c>
      <c r="AE395" s="6">
        <f t="shared" si="9"/>
        <v>18</v>
      </c>
      <c r="AF395">
        <v>1</v>
      </c>
      <c r="AG395" t="s">
        <v>64</v>
      </c>
      <c r="AH395" s="1" t="s">
        <v>64</v>
      </c>
    </row>
    <row r="396" spans="1:34" ht="15" customHeight="1">
      <c r="A396" t="s">
        <v>674</v>
      </c>
      <c r="B396" t="s">
        <v>675</v>
      </c>
      <c r="C396" s="24">
        <v>3</v>
      </c>
      <c r="D396" t="s">
        <v>676</v>
      </c>
      <c r="E396" t="s">
        <v>397</v>
      </c>
      <c r="F396" t="s">
        <v>123</v>
      </c>
      <c r="G396" t="s">
        <v>40</v>
      </c>
      <c r="H396" t="s">
        <v>427</v>
      </c>
      <c r="I396" t="s">
        <v>42</v>
      </c>
      <c r="J396" t="s">
        <v>42</v>
      </c>
      <c r="K396" t="s">
        <v>521</v>
      </c>
      <c r="L396" t="s">
        <v>677</v>
      </c>
      <c r="M396" s="1" t="s">
        <v>42</v>
      </c>
      <c r="N396" s="39" t="s">
        <v>506</v>
      </c>
      <c r="O396" t="s">
        <v>44</v>
      </c>
      <c r="P396" s="39" t="s">
        <v>684</v>
      </c>
      <c r="Q396" t="s">
        <v>42</v>
      </c>
      <c r="R396" t="s">
        <v>42</v>
      </c>
      <c r="S396" t="s">
        <v>679</v>
      </c>
      <c r="T396" t="s">
        <v>42</v>
      </c>
      <c r="U396" t="s">
        <v>680</v>
      </c>
      <c r="V396" t="s">
        <v>681</v>
      </c>
      <c r="W396" s="8" t="s">
        <v>50</v>
      </c>
      <c r="X396" t="s">
        <v>682</v>
      </c>
      <c r="Y396" s="8">
        <v>0</v>
      </c>
      <c r="Z396">
        <v>0</v>
      </c>
      <c r="AA396">
        <v>109</v>
      </c>
      <c r="AB396">
        <v>0</v>
      </c>
      <c r="AC396" s="5">
        <v>1997</v>
      </c>
      <c r="AD396" s="1">
        <v>2015</v>
      </c>
      <c r="AE396" s="6">
        <f t="shared" si="9"/>
        <v>18</v>
      </c>
      <c r="AF396">
        <v>1</v>
      </c>
      <c r="AG396" t="s">
        <v>64</v>
      </c>
      <c r="AH396" s="1" t="s">
        <v>64</v>
      </c>
    </row>
    <row r="397" spans="1:34" ht="15" customHeight="1">
      <c r="A397" t="s">
        <v>674</v>
      </c>
      <c r="B397" t="s">
        <v>675</v>
      </c>
      <c r="C397" s="24">
        <v>4</v>
      </c>
      <c r="D397" t="s">
        <v>676</v>
      </c>
      <c r="E397" t="s">
        <v>426</v>
      </c>
      <c r="F397" t="s">
        <v>123</v>
      </c>
      <c r="G397" t="s">
        <v>40</v>
      </c>
      <c r="H397" t="s">
        <v>427</v>
      </c>
      <c r="I397" t="s">
        <v>42</v>
      </c>
      <c r="J397" t="s">
        <v>42</v>
      </c>
      <c r="K397" t="s">
        <v>521</v>
      </c>
      <c r="L397" t="s">
        <v>677</v>
      </c>
      <c r="M397" s="1" t="s">
        <v>42</v>
      </c>
      <c r="N397" s="39" t="s">
        <v>430</v>
      </c>
      <c r="O397" t="s">
        <v>44</v>
      </c>
      <c r="P397" s="39" t="s">
        <v>685</v>
      </c>
      <c r="Q397" t="s">
        <v>42</v>
      </c>
      <c r="R397" t="s">
        <v>42</v>
      </c>
      <c r="S397" t="s">
        <v>679</v>
      </c>
      <c r="T397" t="s">
        <v>42</v>
      </c>
      <c r="U397" t="s">
        <v>680</v>
      </c>
      <c r="V397" t="s">
        <v>681</v>
      </c>
      <c r="W397" s="8" t="s">
        <v>50</v>
      </c>
      <c r="X397" t="s">
        <v>682</v>
      </c>
      <c r="Y397" s="8">
        <v>0</v>
      </c>
      <c r="Z397">
        <v>0</v>
      </c>
      <c r="AA397">
        <v>109</v>
      </c>
      <c r="AB397">
        <v>0</v>
      </c>
      <c r="AC397" s="5">
        <v>1997</v>
      </c>
      <c r="AD397" s="1">
        <v>2015</v>
      </c>
      <c r="AE397" s="6">
        <f t="shared" si="9"/>
        <v>18</v>
      </c>
      <c r="AF397">
        <v>1</v>
      </c>
      <c r="AG397" t="s">
        <v>64</v>
      </c>
      <c r="AH397" s="1" t="s">
        <v>64</v>
      </c>
    </row>
    <row r="398" spans="1:34" s="9" customFormat="1" ht="15" customHeight="1">
      <c r="A398" s="9" t="s">
        <v>674</v>
      </c>
      <c r="B398" s="9" t="s">
        <v>675</v>
      </c>
      <c r="C398" s="25">
        <v>5</v>
      </c>
      <c r="D398" t="s">
        <v>676</v>
      </c>
      <c r="E398" s="9" t="s">
        <v>426</v>
      </c>
      <c r="F398" s="9" t="s">
        <v>123</v>
      </c>
      <c r="G398" s="9" t="s">
        <v>40</v>
      </c>
      <c r="H398" s="9" t="s">
        <v>427</v>
      </c>
      <c r="I398" s="9" t="s">
        <v>42</v>
      </c>
      <c r="J398" s="9" t="s">
        <v>42</v>
      </c>
      <c r="K398" s="9" t="s">
        <v>521</v>
      </c>
      <c r="L398" s="9" t="s">
        <v>677</v>
      </c>
      <c r="M398" s="10" t="s">
        <v>42</v>
      </c>
      <c r="N398" s="40" t="s">
        <v>463</v>
      </c>
      <c r="O398" s="9" t="s">
        <v>44</v>
      </c>
      <c r="P398" s="40" t="s">
        <v>686</v>
      </c>
      <c r="Q398" s="9" t="s">
        <v>42</v>
      </c>
      <c r="R398" s="9" t="s">
        <v>42</v>
      </c>
      <c r="S398" s="9" t="s">
        <v>679</v>
      </c>
      <c r="T398" s="9" t="s">
        <v>42</v>
      </c>
      <c r="U398" s="9" t="s">
        <v>680</v>
      </c>
      <c r="V398" s="9" t="s">
        <v>681</v>
      </c>
      <c r="W398" s="11" t="s">
        <v>50</v>
      </c>
      <c r="X398" s="9" t="s">
        <v>682</v>
      </c>
      <c r="Y398" s="11">
        <v>0</v>
      </c>
      <c r="Z398" s="9">
        <v>0</v>
      </c>
      <c r="AA398" s="9">
        <v>109</v>
      </c>
      <c r="AB398" s="9">
        <v>0</v>
      </c>
      <c r="AC398" s="12">
        <v>1997</v>
      </c>
      <c r="AD398" s="10">
        <v>2015</v>
      </c>
      <c r="AE398" s="13">
        <f t="shared" si="9"/>
        <v>18</v>
      </c>
      <c r="AF398" s="9">
        <v>1</v>
      </c>
      <c r="AG398" s="9" t="s">
        <v>64</v>
      </c>
      <c r="AH398" s="10" t="s">
        <v>64</v>
      </c>
    </row>
    <row r="399" spans="1:34" ht="15" customHeight="1">
      <c r="A399" t="s">
        <v>687</v>
      </c>
      <c r="B399" t="s">
        <v>688</v>
      </c>
      <c r="C399" s="1">
        <v>1</v>
      </c>
      <c r="D399" t="s">
        <v>397</v>
      </c>
      <c r="E399" t="s">
        <v>397</v>
      </c>
      <c r="F399" t="s">
        <v>116</v>
      </c>
      <c r="G399" t="s">
        <v>40</v>
      </c>
      <c r="H399" t="s">
        <v>42</v>
      </c>
      <c r="I399" t="s">
        <v>42</v>
      </c>
      <c r="J399" t="s">
        <v>42</v>
      </c>
      <c r="K399" t="s">
        <v>521</v>
      </c>
      <c r="L399" t="s">
        <v>677</v>
      </c>
      <c r="M399" s="1" t="s">
        <v>42</v>
      </c>
      <c r="N399" s="39" t="s">
        <v>402</v>
      </c>
      <c r="O399" t="s">
        <v>86</v>
      </c>
      <c r="P399" s="39" t="s">
        <v>402</v>
      </c>
      <c r="Q399" t="s">
        <v>108</v>
      </c>
      <c r="R399" t="s">
        <v>109</v>
      </c>
      <c r="S399" t="s">
        <v>689</v>
      </c>
      <c r="T399" t="s">
        <v>42</v>
      </c>
      <c r="U399" t="s">
        <v>42</v>
      </c>
      <c r="V399" t="s">
        <v>42</v>
      </c>
      <c r="W399" s="8" t="s">
        <v>64</v>
      </c>
      <c r="X399" t="s">
        <v>42</v>
      </c>
      <c r="Y399" s="8">
        <v>0</v>
      </c>
      <c r="Z399">
        <v>0</v>
      </c>
      <c r="AA399">
        <v>81</v>
      </c>
      <c r="AB399">
        <v>0</v>
      </c>
      <c r="AC399" s="5">
        <v>2006</v>
      </c>
      <c r="AD399" s="1">
        <v>2017</v>
      </c>
      <c r="AE399" s="6">
        <f t="shared" si="9"/>
        <v>11</v>
      </c>
      <c r="AF399">
        <v>10</v>
      </c>
      <c r="AG399" t="s">
        <v>64</v>
      </c>
      <c r="AH399" s="1" t="s">
        <v>64</v>
      </c>
    </row>
    <row r="400" spans="1:34" ht="15" customHeight="1">
      <c r="A400" t="s">
        <v>687</v>
      </c>
      <c r="B400" t="s">
        <v>688</v>
      </c>
      <c r="C400" s="1">
        <v>2</v>
      </c>
      <c r="D400" t="s">
        <v>397</v>
      </c>
      <c r="E400" t="s">
        <v>397</v>
      </c>
      <c r="F400" t="s">
        <v>116</v>
      </c>
      <c r="G400" t="s">
        <v>40</v>
      </c>
      <c r="H400" t="s">
        <v>42</v>
      </c>
      <c r="I400" t="s">
        <v>42</v>
      </c>
      <c r="J400" t="s">
        <v>42</v>
      </c>
      <c r="K400" t="s">
        <v>521</v>
      </c>
      <c r="L400" t="s">
        <v>677</v>
      </c>
      <c r="M400" s="1" t="s">
        <v>42</v>
      </c>
      <c r="N400" s="39" t="s">
        <v>402</v>
      </c>
      <c r="O400" t="s">
        <v>86</v>
      </c>
      <c r="P400" s="39" t="s">
        <v>690</v>
      </c>
      <c r="Q400" t="s">
        <v>108</v>
      </c>
      <c r="R400" t="s">
        <v>109</v>
      </c>
      <c r="S400" t="s">
        <v>691</v>
      </c>
      <c r="T400" t="s">
        <v>42</v>
      </c>
      <c r="U400" t="s">
        <v>42</v>
      </c>
      <c r="V400" t="s">
        <v>42</v>
      </c>
      <c r="W400" s="8" t="s">
        <v>64</v>
      </c>
      <c r="X400" t="s">
        <v>42</v>
      </c>
      <c r="Y400" s="8">
        <v>0</v>
      </c>
      <c r="Z400">
        <v>0</v>
      </c>
      <c r="AA400">
        <v>81</v>
      </c>
      <c r="AB400">
        <v>0</v>
      </c>
      <c r="AC400" s="5">
        <v>2006</v>
      </c>
      <c r="AD400" s="1">
        <v>2017</v>
      </c>
      <c r="AE400" s="6">
        <f t="shared" si="9"/>
        <v>11</v>
      </c>
      <c r="AF400">
        <v>1</v>
      </c>
      <c r="AG400" t="s">
        <v>64</v>
      </c>
      <c r="AH400" s="1" t="s">
        <v>64</v>
      </c>
    </row>
    <row r="401" spans="1:34" ht="15" customHeight="1">
      <c r="A401" t="s">
        <v>687</v>
      </c>
      <c r="B401" t="s">
        <v>688</v>
      </c>
      <c r="C401" s="1">
        <v>3</v>
      </c>
      <c r="D401" t="s">
        <v>397</v>
      </c>
      <c r="E401" t="s">
        <v>397</v>
      </c>
      <c r="F401" t="s">
        <v>116</v>
      </c>
      <c r="G401" t="s">
        <v>40</v>
      </c>
      <c r="H401" t="s">
        <v>42</v>
      </c>
      <c r="I401" t="s">
        <v>42</v>
      </c>
      <c r="J401" t="s">
        <v>42</v>
      </c>
      <c r="K401" t="s">
        <v>521</v>
      </c>
      <c r="L401" t="s">
        <v>677</v>
      </c>
      <c r="M401" s="1" t="s">
        <v>42</v>
      </c>
      <c r="N401" s="39" t="s">
        <v>402</v>
      </c>
      <c r="O401" t="s">
        <v>86</v>
      </c>
      <c r="P401" s="39" t="s">
        <v>692</v>
      </c>
      <c r="Q401" t="s">
        <v>108</v>
      </c>
      <c r="R401" t="s">
        <v>109</v>
      </c>
      <c r="S401" t="s">
        <v>693</v>
      </c>
      <c r="T401" t="s">
        <v>42</v>
      </c>
      <c r="U401" t="s">
        <v>42</v>
      </c>
      <c r="V401" t="s">
        <v>42</v>
      </c>
      <c r="W401" s="8" t="s">
        <v>64</v>
      </c>
      <c r="X401" t="s">
        <v>42</v>
      </c>
      <c r="Y401" s="8">
        <v>0</v>
      </c>
      <c r="Z401">
        <v>0</v>
      </c>
      <c r="AA401">
        <v>81</v>
      </c>
      <c r="AB401">
        <v>0</v>
      </c>
      <c r="AC401" s="5">
        <v>2006</v>
      </c>
      <c r="AD401" s="1">
        <v>2017</v>
      </c>
      <c r="AE401" s="6">
        <f t="shared" si="9"/>
        <v>11</v>
      </c>
      <c r="AF401">
        <v>1</v>
      </c>
      <c r="AG401" t="s">
        <v>64</v>
      </c>
      <c r="AH401" s="1" t="s">
        <v>64</v>
      </c>
    </row>
    <row r="402" spans="1:34" ht="15" customHeight="1">
      <c r="A402" t="s">
        <v>687</v>
      </c>
      <c r="B402" t="s">
        <v>688</v>
      </c>
      <c r="C402" s="1">
        <v>4</v>
      </c>
      <c r="D402" t="s">
        <v>397</v>
      </c>
      <c r="E402" t="s">
        <v>397</v>
      </c>
      <c r="F402" t="s">
        <v>116</v>
      </c>
      <c r="G402" t="s">
        <v>40</v>
      </c>
      <c r="H402" t="s">
        <v>42</v>
      </c>
      <c r="I402" t="s">
        <v>42</v>
      </c>
      <c r="J402" t="s">
        <v>42</v>
      </c>
      <c r="K402" t="s">
        <v>521</v>
      </c>
      <c r="L402" t="s">
        <v>677</v>
      </c>
      <c r="M402" s="1" t="s">
        <v>42</v>
      </c>
      <c r="N402" s="39" t="s">
        <v>694</v>
      </c>
      <c r="O402" t="s">
        <v>86</v>
      </c>
      <c r="P402" s="39" t="s">
        <v>695</v>
      </c>
      <c r="Q402" t="s">
        <v>108</v>
      </c>
      <c r="R402" t="s">
        <v>109</v>
      </c>
      <c r="S402" t="s">
        <v>88</v>
      </c>
      <c r="T402" t="s">
        <v>42</v>
      </c>
      <c r="U402" t="s">
        <v>42</v>
      </c>
      <c r="V402" t="s">
        <v>42</v>
      </c>
      <c r="W402" s="8" t="s">
        <v>64</v>
      </c>
      <c r="X402" t="s">
        <v>42</v>
      </c>
      <c r="Y402" s="8">
        <v>0</v>
      </c>
      <c r="Z402">
        <v>0</v>
      </c>
      <c r="AA402">
        <v>81</v>
      </c>
      <c r="AB402">
        <v>0</v>
      </c>
      <c r="AC402" s="5">
        <v>2006</v>
      </c>
      <c r="AD402" s="1">
        <v>2017</v>
      </c>
      <c r="AE402" s="6">
        <f t="shared" si="9"/>
        <v>11</v>
      </c>
      <c r="AF402">
        <v>1</v>
      </c>
      <c r="AG402" t="s">
        <v>64</v>
      </c>
      <c r="AH402" s="1" t="s">
        <v>64</v>
      </c>
    </row>
    <row r="403" spans="1:34" ht="15" customHeight="1">
      <c r="A403" t="s">
        <v>687</v>
      </c>
      <c r="B403" t="s">
        <v>688</v>
      </c>
      <c r="C403" s="1">
        <v>5</v>
      </c>
      <c r="D403" t="s">
        <v>397</v>
      </c>
      <c r="E403" t="s">
        <v>397</v>
      </c>
      <c r="F403" t="s">
        <v>116</v>
      </c>
      <c r="G403" t="s">
        <v>40</v>
      </c>
      <c r="H403" t="s">
        <v>42</v>
      </c>
      <c r="I403" t="s">
        <v>42</v>
      </c>
      <c r="J403" t="s">
        <v>42</v>
      </c>
      <c r="K403" t="s">
        <v>521</v>
      </c>
      <c r="L403" t="s">
        <v>677</v>
      </c>
      <c r="M403" s="1" t="s">
        <v>42</v>
      </c>
      <c r="N403" s="39" t="s">
        <v>402</v>
      </c>
      <c r="O403" t="s">
        <v>86</v>
      </c>
      <c r="P403" s="39" t="s">
        <v>402</v>
      </c>
      <c r="Q403" t="s">
        <v>266</v>
      </c>
      <c r="R403" t="s">
        <v>696</v>
      </c>
      <c r="S403" t="s">
        <v>523</v>
      </c>
      <c r="T403" t="s">
        <v>42</v>
      </c>
      <c r="U403" t="s">
        <v>42</v>
      </c>
      <c r="V403" t="s">
        <v>42</v>
      </c>
      <c r="W403" s="8" t="s">
        <v>64</v>
      </c>
      <c r="X403" t="s">
        <v>42</v>
      </c>
      <c r="Y403" s="8">
        <v>0</v>
      </c>
      <c r="Z403">
        <v>0</v>
      </c>
      <c r="AA403">
        <v>81</v>
      </c>
      <c r="AB403">
        <v>0</v>
      </c>
      <c r="AC403" s="5">
        <v>2006</v>
      </c>
      <c r="AD403" s="1">
        <v>2017</v>
      </c>
      <c r="AE403" s="6">
        <f t="shared" si="9"/>
        <v>11</v>
      </c>
      <c r="AF403">
        <v>10</v>
      </c>
      <c r="AG403" t="s">
        <v>64</v>
      </c>
      <c r="AH403" s="1" t="s">
        <v>64</v>
      </c>
    </row>
    <row r="404" spans="1:34" ht="15" customHeight="1">
      <c r="A404" t="s">
        <v>687</v>
      </c>
      <c r="B404" t="s">
        <v>688</v>
      </c>
      <c r="C404" s="1">
        <v>6</v>
      </c>
      <c r="D404" t="s">
        <v>397</v>
      </c>
      <c r="E404" t="s">
        <v>397</v>
      </c>
      <c r="F404" t="s">
        <v>116</v>
      </c>
      <c r="G404" t="s">
        <v>40</v>
      </c>
      <c r="H404" t="s">
        <v>42</v>
      </c>
      <c r="I404" t="s">
        <v>42</v>
      </c>
      <c r="J404" t="s">
        <v>42</v>
      </c>
      <c r="K404" t="s">
        <v>521</v>
      </c>
      <c r="L404" t="s">
        <v>677</v>
      </c>
      <c r="M404" s="1" t="s">
        <v>42</v>
      </c>
      <c r="N404" s="39" t="s">
        <v>694</v>
      </c>
      <c r="O404" t="s">
        <v>86</v>
      </c>
      <c r="P404" s="39" t="s">
        <v>695</v>
      </c>
      <c r="Q404" t="s">
        <v>266</v>
      </c>
      <c r="R404" t="s">
        <v>696</v>
      </c>
      <c r="S404" t="s">
        <v>88</v>
      </c>
      <c r="T404" t="s">
        <v>42</v>
      </c>
      <c r="U404" t="s">
        <v>42</v>
      </c>
      <c r="V404" t="s">
        <v>42</v>
      </c>
      <c r="W404" s="8" t="s">
        <v>64</v>
      </c>
      <c r="X404" t="s">
        <v>42</v>
      </c>
      <c r="Y404" s="8">
        <v>0</v>
      </c>
      <c r="Z404">
        <v>0</v>
      </c>
      <c r="AA404">
        <v>81</v>
      </c>
      <c r="AB404">
        <v>0</v>
      </c>
      <c r="AC404" s="5">
        <v>2006</v>
      </c>
      <c r="AD404" s="1">
        <v>2017</v>
      </c>
      <c r="AE404" s="6">
        <f t="shared" si="9"/>
        <v>11</v>
      </c>
      <c r="AF404">
        <v>1</v>
      </c>
      <c r="AG404" t="s">
        <v>64</v>
      </c>
      <c r="AH404" s="1" t="s">
        <v>64</v>
      </c>
    </row>
    <row r="405" spans="1:34" s="9" customFormat="1" ht="15" customHeight="1">
      <c r="A405" s="9" t="s">
        <v>687</v>
      </c>
      <c r="B405" s="9" t="s">
        <v>688</v>
      </c>
      <c r="C405" s="10">
        <v>7</v>
      </c>
      <c r="D405" s="9" t="s">
        <v>397</v>
      </c>
      <c r="E405" s="9" t="s">
        <v>397</v>
      </c>
      <c r="F405" s="9" t="s">
        <v>116</v>
      </c>
      <c r="G405" s="9" t="s">
        <v>40</v>
      </c>
      <c r="H405" s="9" t="s">
        <v>42</v>
      </c>
      <c r="I405" s="9" t="s">
        <v>42</v>
      </c>
      <c r="J405" s="9" t="s">
        <v>42</v>
      </c>
      <c r="K405" s="9" t="s">
        <v>521</v>
      </c>
      <c r="L405" s="9" t="s">
        <v>677</v>
      </c>
      <c r="M405" s="10" t="s">
        <v>42</v>
      </c>
      <c r="N405" s="40" t="s">
        <v>694</v>
      </c>
      <c r="O405" s="9" t="s">
        <v>86</v>
      </c>
      <c r="P405" s="40" t="s">
        <v>695</v>
      </c>
      <c r="Q405" s="9" t="s">
        <v>697</v>
      </c>
      <c r="R405" s="9" t="s">
        <v>698</v>
      </c>
      <c r="S405" s="9" t="s">
        <v>88</v>
      </c>
      <c r="T405" s="9" t="s">
        <v>42</v>
      </c>
      <c r="U405" s="9" t="s">
        <v>42</v>
      </c>
      <c r="V405" s="9" t="s">
        <v>42</v>
      </c>
      <c r="W405" s="11" t="s">
        <v>64</v>
      </c>
      <c r="X405" s="9" t="s">
        <v>42</v>
      </c>
      <c r="Y405" s="11">
        <v>0</v>
      </c>
      <c r="Z405" s="9">
        <v>0</v>
      </c>
      <c r="AA405" s="9">
        <v>81</v>
      </c>
      <c r="AB405" s="9">
        <v>0</v>
      </c>
      <c r="AC405" s="12">
        <v>2006</v>
      </c>
      <c r="AD405" s="10">
        <v>2017</v>
      </c>
      <c r="AE405" s="13">
        <f t="shared" si="9"/>
        <v>11</v>
      </c>
      <c r="AF405" s="9">
        <v>1</v>
      </c>
      <c r="AG405" s="9" t="s">
        <v>64</v>
      </c>
      <c r="AH405" s="10" t="s">
        <v>64</v>
      </c>
    </row>
    <row r="406" spans="1:34" ht="15" customHeight="1">
      <c r="A406" t="s">
        <v>699</v>
      </c>
      <c r="B406" t="s">
        <v>700</v>
      </c>
      <c r="C406" s="24">
        <v>1</v>
      </c>
      <c r="D406" t="s">
        <v>397</v>
      </c>
      <c r="E406" t="s">
        <v>397</v>
      </c>
      <c r="F406" t="s">
        <v>116</v>
      </c>
      <c r="G406" t="s">
        <v>40</v>
      </c>
      <c r="H406" t="s">
        <v>42</v>
      </c>
      <c r="I406" t="s">
        <v>42</v>
      </c>
      <c r="J406" t="s">
        <v>42</v>
      </c>
      <c r="K406" t="s">
        <v>622</v>
      </c>
      <c r="L406" t="s">
        <v>701</v>
      </c>
      <c r="M406" s="1" t="s">
        <v>42</v>
      </c>
      <c r="N406" s="39" t="s">
        <v>402</v>
      </c>
      <c r="O406" t="s">
        <v>44</v>
      </c>
      <c r="P406" s="39" t="s">
        <v>702</v>
      </c>
      <c r="Q406" t="s">
        <v>108</v>
      </c>
      <c r="R406" t="s">
        <v>109</v>
      </c>
      <c r="S406" t="s">
        <v>508</v>
      </c>
      <c r="T406" t="s">
        <v>703</v>
      </c>
      <c r="U406" t="s">
        <v>42</v>
      </c>
      <c r="V406" t="s">
        <v>42</v>
      </c>
      <c r="W406" s="8" t="s">
        <v>50</v>
      </c>
      <c r="X406" t="s">
        <v>704</v>
      </c>
      <c r="Y406" s="8">
        <v>0</v>
      </c>
      <c r="Z406">
        <v>0</v>
      </c>
      <c r="AA406">
        <v>217</v>
      </c>
      <c r="AB406">
        <v>0</v>
      </c>
      <c r="AC406" s="5">
        <v>2001</v>
      </c>
      <c r="AD406" s="1">
        <v>2018</v>
      </c>
      <c r="AE406" s="6">
        <f t="shared" si="9"/>
        <v>17</v>
      </c>
      <c r="AF406">
        <v>16</v>
      </c>
      <c r="AG406" t="s">
        <v>64</v>
      </c>
      <c r="AH406" s="1" t="s">
        <v>64</v>
      </c>
    </row>
    <row r="407" spans="1:34" s="9" customFormat="1" ht="15" customHeight="1">
      <c r="A407" s="9" t="s">
        <v>699</v>
      </c>
      <c r="B407" s="9" t="s">
        <v>700</v>
      </c>
      <c r="C407" s="25">
        <v>2</v>
      </c>
      <c r="D407" s="9" t="s">
        <v>397</v>
      </c>
      <c r="E407" s="9" t="s">
        <v>397</v>
      </c>
      <c r="F407" s="9" t="s">
        <v>116</v>
      </c>
      <c r="G407" s="9" t="s">
        <v>40</v>
      </c>
      <c r="H407" s="9" t="s">
        <v>42</v>
      </c>
      <c r="I407" s="9" t="s">
        <v>42</v>
      </c>
      <c r="J407" s="9" t="s">
        <v>42</v>
      </c>
      <c r="K407" s="9" t="s">
        <v>622</v>
      </c>
      <c r="L407" s="9" t="s">
        <v>701</v>
      </c>
      <c r="M407" s="10" t="s">
        <v>42</v>
      </c>
      <c r="N407" s="40" t="s">
        <v>402</v>
      </c>
      <c r="O407" s="9" t="s">
        <v>44</v>
      </c>
      <c r="P407" s="40" t="s">
        <v>608</v>
      </c>
      <c r="Q407" s="9" t="s">
        <v>108</v>
      </c>
      <c r="R407" s="9" t="s">
        <v>109</v>
      </c>
      <c r="S407" s="9" t="s">
        <v>508</v>
      </c>
      <c r="T407" s="9" t="s">
        <v>703</v>
      </c>
      <c r="U407" s="9" t="s">
        <v>42</v>
      </c>
      <c r="V407" s="9" t="s">
        <v>42</v>
      </c>
      <c r="W407" s="11" t="s">
        <v>50</v>
      </c>
      <c r="X407" s="9" t="s">
        <v>704</v>
      </c>
      <c r="Y407" s="11">
        <v>0</v>
      </c>
      <c r="Z407" s="9">
        <v>0</v>
      </c>
      <c r="AA407" s="9">
        <v>224</v>
      </c>
      <c r="AB407" s="9">
        <v>0</v>
      </c>
      <c r="AC407" s="12">
        <v>2001</v>
      </c>
      <c r="AD407" s="10">
        <v>2018</v>
      </c>
      <c r="AE407" s="13">
        <v>17</v>
      </c>
      <c r="AF407" s="9">
        <v>16</v>
      </c>
      <c r="AG407" s="9" t="s">
        <v>64</v>
      </c>
      <c r="AH407" s="10" t="s">
        <v>64</v>
      </c>
    </row>
    <row r="408" spans="1:34" ht="15" customHeight="1">
      <c r="A408" t="s">
        <v>705</v>
      </c>
      <c r="B408" t="s">
        <v>706</v>
      </c>
      <c r="C408" s="24">
        <v>1</v>
      </c>
      <c r="D408" t="s">
        <v>38</v>
      </c>
      <c r="E408" t="s">
        <v>38</v>
      </c>
      <c r="F408" t="s">
        <v>116</v>
      </c>
      <c r="G408" t="s">
        <v>40</v>
      </c>
      <c r="H408" t="s">
        <v>42</v>
      </c>
      <c r="I408" t="s">
        <v>42</v>
      </c>
      <c r="J408" t="s">
        <v>42</v>
      </c>
      <c r="K408" t="s">
        <v>707</v>
      </c>
      <c r="L408" t="s">
        <v>42</v>
      </c>
      <c r="M408" s="1" t="s">
        <v>42</v>
      </c>
      <c r="N408" s="39" t="s">
        <v>132</v>
      </c>
      <c r="O408" t="s">
        <v>86</v>
      </c>
      <c r="P408" s="39" t="s">
        <v>132</v>
      </c>
      <c r="Q408" t="s">
        <v>254</v>
      </c>
      <c r="R408" t="s">
        <v>255</v>
      </c>
      <c r="S408" t="s">
        <v>181</v>
      </c>
      <c r="T408" t="s">
        <v>42</v>
      </c>
      <c r="U408" t="s">
        <v>42</v>
      </c>
      <c r="V408" t="s">
        <v>42</v>
      </c>
      <c r="W408" s="8" t="s">
        <v>64</v>
      </c>
      <c r="X408" t="s">
        <v>42</v>
      </c>
      <c r="Y408" s="8">
        <v>1</v>
      </c>
      <c r="Z408">
        <v>0</v>
      </c>
      <c r="AA408">
        <v>0</v>
      </c>
      <c r="AB408">
        <v>0</v>
      </c>
      <c r="AC408" s="5">
        <v>1993</v>
      </c>
      <c r="AD408" s="1">
        <v>2009</v>
      </c>
      <c r="AE408" s="6">
        <f>AD408-AC408</f>
        <v>16</v>
      </c>
      <c r="AF408">
        <v>10</v>
      </c>
      <c r="AG408" t="s">
        <v>50</v>
      </c>
      <c r="AH408" s="1" t="s">
        <v>64</v>
      </c>
    </row>
    <row r="409" spans="1:34" ht="15" customHeight="1">
      <c r="A409" t="s">
        <v>705</v>
      </c>
      <c r="B409" t="s">
        <v>706</v>
      </c>
      <c r="C409" s="24">
        <v>2</v>
      </c>
      <c r="D409" t="s">
        <v>38</v>
      </c>
      <c r="E409" t="s">
        <v>38</v>
      </c>
      <c r="F409" t="s">
        <v>116</v>
      </c>
      <c r="G409" t="s">
        <v>40</v>
      </c>
      <c r="H409" t="s">
        <v>42</v>
      </c>
      <c r="I409" t="s">
        <v>42</v>
      </c>
      <c r="J409" t="s">
        <v>42</v>
      </c>
      <c r="K409" t="s">
        <v>707</v>
      </c>
      <c r="L409" t="s">
        <v>42</v>
      </c>
      <c r="M409" s="1" t="s">
        <v>42</v>
      </c>
      <c r="N409" s="39" t="s">
        <v>43</v>
      </c>
      <c r="O409" t="s">
        <v>86</v>
      </c>
      <c r="P409" s="39" t="s">
        <v>43</v>
      </c>
      <c r="Q409" t="s">
        <v>254</v>
      </c>
      <c r="R409" t="s">
        <v>255</v>
      </c>
      <c r="S409" t="s">
        <v>708</v>
      </c>
      <c r="T409" t="s">
        <v>42</v>
      </c>
      <c r="U409" t="s">
        <v>42</v>
      </c>
      <c r="V409" t="s">
        <v>42</v>
      </c>
      <c r="W409" s="8" t="s">
        <v>64</v>
      </c>
      <c r="X409" t="s">
        <v>42</v>
      </c>
      <c r="Y409" s="8">
        <v>1</v>
      </c>
      <c r="Z409">
        <v>0</v>
      </c>
      <c r="AA409">
        <v>0</v>
      </c>
      <c r="AB409">
        <v>0</v>
      </c>
      <c r="AC409" s="5">
        <v>1999</v>
      </c>
      <c r="AD409" s="1">
        <v>2009</v>
      </c>
      <c r="AE409" s="6">
        <f>AD409-AC409</f>
        <v>10</v>
      </c>
      <c r="AF409">
        <v>6</v>
      </c>
      <c r="AG409" t="s">
        <v>64</v>
      </c>
      <c r="AH409" s="1" t="s">
        <v>64</v>
      </c>
    </row>
    <row r="410" spans="1:34" ht="15" customHeight="1">
      <c r="A410" t="s">
        <v>705</v>
      </c>
      <c r="B410" t="s">
        <v>706</v>
      </c>
      <c r="C410" s="24">
        <v>3</v>
      </c>
      <c r="D410" t="s">
        <v>38</v>
      </c>
      <c r="E410" t="s">
        <v>38</v>
      </c>
      <c r="F410" t="s">
        <v>116</v>
      </c>
      <c r="G410" t="s">
        <v>40</v>
      </c>
      <c r="H410" t="s">
        <v>42</v>
      </c>
      <c r="I410" t="s">
        <v>42</v>
      </c>
      <c r="J410" t="s">
        <v>42</v>
      </c>
      <c r="K410" t="s">
        <v>707</v>
      </c>
      <c r="L410" t="s">
        <v>42</v>
      </c>
      <c r="M410" s="1" t="s">
        <v>42</v>
      </c>
      <c r="N410" s="39" t="s">
        <v>60</v>
      </c>
      <c r="O410" t="s">
        <v>86</v>
      </c>
      <c r="P410" s="39" t="s">
        <v>709</v>
      </c>
      <c r="Q410" t="s">
        <v>254</v>
      </c>
      <c r="R410" t="s">
        <v>255</v>
      </c>
      <c r="S410" t="s">
        <v>710</v>
      </c>
      <c r="T410" t="s">
        <v>42</v>
      </c>
      <c r="U410" t="s">
        <v>42</v>
      </c>
      <c r="V410" t="s">
        <v>42</v>
      </c>
      <c r="W410" s="8" t="s">
        <v>64</v>
      </c>
      <c r="X410" t="s">
        <v>42</v>
      </c>
      <c r="Y410" s="8">
        <v>1</v>
      </c>
      <c r="Z410">
        <v>0</v>
      </c>
      <c r="AA410">
        <v>0</v>
      </c>
      <c r="AB410">
        <v>0</v>
      </c>
      <c r="AC410" s="5">
        <v>1999</v>
      </c>
      <c r="AD410" s="1">
        <v>2009</v>
      </c>
      <c r="AE410" s="6">
        <f>AD410-AC410</f>
        <v>10</v>
      </c>
      <c r="AF410">
        <v>6</v>
      </c>
      <c r="AG410" t="s">
        <v>64</v>
      </c>
      <c r="AH410" s="1" t="s">
        <v>64</v>
      </c>
    </row>
    <row r="411" spans="1:34" ht="15" customHeight="1">
      <c r="A411" t="s">
        <v>705</v>
      </c>
      <c r="B411" t="s">
        <v>706</v>
      </c>
      <c r="C411" s="24">
        <v>4</v>
      </c>
      <c r="D411" t="s">
        <v>38</v>
      </c>
      <c r="E411" t="s">
        <v>38</v>
      </c>
      <c r="F411" t="s">
        <v>116</v>
      </c>
      <c r="G411" t="s">
        <v>40</v>
      </c>
      <c r="H411" t="s">
        <v>42</v>
      </c>
      <c r="I411" t="s">
        <v>42</v>
      </c>
      <c r="J411" t="s">
        <v>42</v>
      </c>
      <c r="K411" t="s">
        <v>707</v>
      </c>
      <c r="L411" t="s">
        <v>42</v>
      </c>
      <c r="M411" s="1" t="s">
        <v>42</v>
      </c>
      <c r="N411" s="39" t="s">
        <v>60</v>
      </c>
      <c r="O411" t="s">
        <v>86</v>
      </c>
      <c r="P411" s="39" t="s">
        <v>711</v>
      </c>
      <c r="Q411" t="s">
        <v>254</v>
      </c>
      <c r="R411" t="s">
        <v>255</v>
      </c>
      <c r="S411" t="s">
        <v>712</v>
      </c>
      <c r="T411" t="s">
        <v>42</v>
      </c>
      <c r="U411" t="s">
        <v>42</v>
      </c>
      <c r="V411" t="s">
        <v>42</v>
      </c>
      <c r="W411" s="8" t="s">
        <v>64</v>
      </c>
      <c r="X411" t="s">
        <v>42</v>
      </c>
      <c r="Y411" s="8">
        <v>1</v>
      </c>
      <c r="Z411">
        <v>0</v>
      </c>
      <c r="AA411">
        <v>0</v>
      </c>
      <c r="AB411">
        <v>0</v>
      </c>
      <c r="AC411" s="5">
        <v>1999</v>
      </c>
      <c r="AD411" s="1">
        <v>2009</v>
      </c>
      <c r="AE411" s="6">
        <v>10</v>
      </c>
      <c r="AF411">
        <v>5</v>
      </c>
      <c r="AG411" t="s">
        <v>64</v>
      </c>
      <c r="AH411" s="1" t="s">
        <v>64</v>
      </c>
    </row>
    <row r="412" spans="1:34" ht="15" customHeight="1">
      <c r="A412" t="s">
        <v>705</v>
      </c>
      <c r="B412" t="s">
        <v>706</v>
      </c>
      <c r="C412" s="24">
        <v>5</v>
      </c>
      <c r="D412" t="s">
        <v>38</v>
      </c>
      <c r="E412" t="s">
        <v>38</v>
      </c>
      <c r="F412" t="s">
        <v>116</v>
      </c>
      <c r="G412" t="s">
        <v>40</v>
      </c>
      <c r="H412" t="s">
        <v>42</v>
      </c>
      <c r="I412" t="s">
        <v>42</v>
      </c>
      <c r="J412" t="s">
        <v>42</v>
      </c>
      <c r="K412" t="s">
        <v>707</v>
      </c>
      <c r="L412" t="s">
        <v>42</v>
      </c>
      <c r="M412" s="1" t="s">
        <v>42</v>
      </c>
      <c r="N412" s="39" t="s">
        <v>132</v>
      </c>
      <c r="O412" t="s">
        <v>86</v>
      </c>
      <c r="P412" s="39" t="s">
        <v>132</v>
      </c>
      <c r="Q412" t="s">
        <v>254</v>
      </c>
      <c r="R412" t="s">
        <v>255</v>
      </c>
      <c r="S412" t="s">
        <v>367</v>
      </c>
      <c r="T412" t="s">
        <v>42</v>
      </c>
      <c r="U412" t="s">
        <v>42</v>
      </c>
      <c r="V412" t="s">
        <v>42</v>
      </c>
      <c r="W412" s="8" t="s">
        <v>64</v>
      </c>
      <c r="X412" t="s">
        <v>42</v>
      </c>
      <c r="Y412" s="8">
        <v>1</v>
      </c>
      <c r="Z412">
        <v>0</v>
      </c>
      <c r="AA412">
        <v>0</v>
      </c>
      <c r="AB412">
        <v>0</v>
      </c>
      <c r="AC412" s="5">
        <v>1996</v>
      </c>
      <c r="AD412" s="1">
        <v>2003</v>
      </c>
      <c r="AE412" s="6">
        <f>AD412-AC412</f>
        <v>7</v>
      </c>
      <c r="AF412">
        <v>5</v>
      </c>
      <c r="AG412" t="s">
        <v>64</v>
      </c>
      <c r="AH412" s="1" t="s">
        <v>64</v>
      </c>
    </row>
    <row r="413" spans="1:34" ht="15" customHeight="1">
      <c r="A413" t="s">
        <v>705</v>
      </c>
      <c r="B413" t="s">
        <v>706</v>
      </c>
      <c r="C413" s="24">
        <v>6</v>
      </c>
      <c r="D413" t="s">
        <v>38</v>
      </c>
      <c r="E413" t="s">
        <v>38</v>
      </c>
      <c r="F413" t="s">
        <v>116</v>
      </c>
      <c r="G413" t="s">
        <v>40</v>
      </c>
      <c r="H413" t="s">
        <v>42</v>
      </c>
      <c r="I413" t="s">
        <v>42</v>
      </c>
      <c r="J413" t="s">
        <v>42</v>
      </c>
      <c r="K413" t="s">
        <v>707</v>
      </c>
      <c r="L413" t="s">
        <v>42</v>
      </c>
      <c r="M413" s="1" t="s">
        <v>42</v>
      </c>
      <c r="N413" s="39" t="s">
        <v>60</v>
      </c>
      <c r="O413" t="s">
        <v>86</v>
      </c>
      <c r="P413" s="39" t="s">
        <v>713</v>
      </c>
      <c r="Q413" t="s">
        <v>254</v>
      </c>
      <c r="R413" t="s">
        <v>255</v>
      </c>
      <c r="S413" t="s">
        <v>181</v>
      </c>
      <c r="T413" t="s">
        <v>42</v>
      </c>
      <c r="U413" t="s">
        <v>42</v>
      </c>
      <c r="V413" t="s">
        <v>42</v>
      </c>
      <c r="W413" s="8" t="s">
        <v>64</v>
      </c>
      <c r="X413" t="s">
        <v>42</v>
      </c>
      <c r="Y413" s="8">
        <v>1</v>
      </c>
      <c r="Z413">
        <v>0</v>
      </c>
      <c r="AA413">
        <v>0</v>
      </c>
      <c r="AB413">
        <v>0</v>
      </c>
      <c r="AC413" s="5">
        <v>1996</v>
      </c>
      <c r="AD413" s="1">
        <v>2003</v>
      </c>
      <c r="AE413" s="6">
        <f>AD413-AC413</f>
        <v>7</v>
      </c>
      <c r="AF413">
        <v>5</v>
      </c>
      <c r="AG413" t="s">
        <v>64</v>
      </c>
      <c r="AH413" s="1" t="s">
        <v>64</v>
      </c>
    </row>
    <row r="414" spans="1:34" s="9" customFormat="1" ht="15" customHeight="1">
      <c r="A414" s="9" t="s">
        <v>705</v>
      </c>
      <c r="B414" s="9" t="s">
        <v>706</v>
      </c>
      <c r="C414" s="25">
        <v>7</v>
      </c>
      <c r="D414" s="9" t="s">
        <v>38</v>
      </c>
      <c r="E414" s="9" t="s">
        <v>38</v>
      </c>
      <c r="F414" s="9" t="s">
        <v>116</v>
      </c>
      <c r="G414" s="9" t="s">
        <v>40</v>
      </c>
      <c r="H414" s="9" t="s">
        <v>42</v>
      </c>
      <c r="I414" s="9" t="s">
        <v>42</v>
      </c>
      <c r="J414" s="9" t="s">
        <v>42</v>
      </c>
      <c r="K414" s="9" t="s">
        <v>707</v>
      </c>
      <c r="L414" s="9" t="s">
        <v>42</v>
      </c>
      <c r="M414" s="10" t="s">
        <v>42</v>
      </c>
      <c r="N414" s="40" t="s">
        <v>60</v>
      </c>
      <c r="O414" s="9" t="s">
        <v>86</v>
      </c>
      <c r="P414" s="40" t="s">
        <v>714</v>
      </c>
      <c r="Q414" s="9" t="s">
        <v>254</v>
      </c>
      <c r="R414" s="9" t="s">
        <v>255</v>
      </c>
      <c r="S414" s="9" t="s">
        <v>181</v>
      </c>
      <c r="T414" s="9" t="s">
        <v>42</v>
      </c>
      <c r="U414" s="9" t="s">
        <v>42</v>
      </c>
      <c r="V414" s="9" t="s">
        <v>42</v>
      </c>
      <c r="W414" s="11" t="s">
        <v>64</v>
      </c>
      <c r="X414" s="9" t="s">
        <v>42</v>
      </c>
      <c r="Y414" s="11">
        <v>1</v>
      </c>
      <c r="Z414" s="9">
        <v>0</v>
      </c>
      <c r="AA414" s="9">
        <v>0</v>
      </c>
      <c r="AB414" s="9">
        <v>0</v>
      </c>
      <c r="AC414" s="12">
        <v>1996</v>
      </c>
      <c r="AD414" s="10">
        <v>2003</v>
      </c>
      <c r="AE414" s="13">
        <f>AD414-AC414</f>
        <v>7</v>
      </c>
      <c r="AF414" s="9">
        <v>5</v>
      </c>
      <c r="AG414" s="9" t="s">
        <v>64</v>
      </c>
      <c r="AH414" s="10" t="s">
        <v>64</v>
      </c>
    </row>
    <row r="415" spans="1:34" ht="15" customHeight="1">
      <c r="A415" t="s">
        <v>715</v>
      </c>
      <c r="B415" t="s">
        <v>716</v>
      </c>
      <c r="C415" s="1">
        <v>1</v>
      </c>
      <c r="D415" t="s">
        <v>38</v>
      </c>
      <c r="E415" t="s">
        <v>38</v>
      </c>
      <c r="F415" t="s">
        <v>39</v>
      </c>
      <c r="G415" t="s">
        <v>40</v>
      </c>
      <c r="H415" t="s">
        <v>91</v>
      </c>
      <c r="I415" t="s">
        <v>92</v>
      </c>
      <c r="J415" t="s">
        <v>42</v>
      </c>
      <c r="K415" t="s">
        <v>42</v>
      </c>
      <c r="L415" t="s">
        <v>42</v>
      </c>
      <c r="M415" s="1" t="s">
        <v>42</v>
      </c>
      <c r="N415" s="39" t="s">
        <v>52</v>
      </c>
      <c r="O415" t="s">
        <v>86</v>
      </c>
      <c r="P415" s="39" t="s">
        <v>52</v>
      </c>
      <c r="Q415" t="s">
        <v>254</v>
      </c>
      <c r="R415" t="s">
        <v>255</v>
      </c>
      <c r="S415" t="s">
        <v>69</v>
      </c>
      <c r="T415" t="s">
        <v>611</v>
      </c>
      <c r="U415" t="s">
        <v>42</v>
      </c>
      <c r="V415" t="s">
        <v>42</v>
      </c>
      <c r="W415" s="8" t="s">
        <v>64</v>
      </c>
      <c r="X415" t="s">
        <v>42</v>
      </c>
      <c r="Y415" s="8">
        <v>1</v>
      </c>
      <c r="Z415">
        <v>0</v>
      </c>
      <c r="AA415">
        <v>0</v>
      </c>
      <c r="AB415">
        <v>0</v>
      </c>
      <c r="AC415" s="5">
        <v>1999</v>
      </c>
      <c r="AD415" s="1">
        <v>2001</v>
      </c>
      <c r="AE415" s="6">
        <v>3</v>
      </c>
      <c r="AF415">
        <v>3</v>
      </c>
      <c r="AG415" t="s">
        <v>64</v>
      </c>
      <c r="AH415" s="1" t="s">
        <v>64</v>
      </c>
    </row>
    <row r="416" spans="1:34" ht="15" customHeight="1">
      <c r="A416" t="s">
        <v>715</v>
      </c>
      <c r="B416" t="s">
        <v>716</v>
      </c>
      <c r="C416" s="1">
        <v>2</v>
      </c>
      <c r="D416" t="s">
        <v>38</v>
      </c>
      <c r="E416" t="s">
        <v>38</v>
      </c>
      <c r="F416" t="s">
        <v>39</v>
      </c>
      <c r="G416" t="s">
        <v>40</v>
      </c>
      <c r="H416" t="s">
        <v>91</v>
      </c>
      <c r="I416" t="s">
        <v>92</v>
      </c>
      <c r="J416" t="s">
        <v>42</v>
      </c>
      <c r="K416" t="s">
        <v>42</v>
      </c>
      <c r="L416" t="s">
        <v>42</v>
      </c>
      <c r="M416" s="1" t="s">
        <v>42</v>
      </c>
      <c r="N416" s="39" t="s">
        <v>132</v>
      </c>
      <c r="O416" t="s">
        <v>86</v>
      </c>
      <c r="P416" s="39" t="s">
        <v>132</v>
      </c>
      <c r="Q416" t="s">
        <v>254</v>
      </c>
      <c r="R416" t="s">
        <v>255</v>
      </c>
      <c r="S416" t="s">
        <v>181</v>
      </c>
      <c r="T416" t="s">
        <v>42</v>
      </c>
      <c r="U416" t="s">
        <v>42</v>
      </c>
      <c r="V416" t="s">
        <v>42</v>
      </c>
      <c r="W416" s="8" t="s">
        <v>64</v>
      </c>
      <c r="X416" t="s">
        <v>42</v>
      </c>
      <c r="Y416" s="8">
        <v>1</v>
      </c>
      <c r="Z416">
        <v>0</v>
      </c>
      <c r="AA416">
        <v>0</v>
      </c>
      <c r="AB416">
        <v>0</v>
      </c>
      <c r="AC416" s="5">
        <v>1997</v>
      </c>
      <c r="AD416" s="1">
        <v>2001</v>
      </c>
      <c r="AE416" s="6">
        <f>AD416-AC416</f>
        <v>4</v>
      </c>
      <c r="AF416">
        <v>4</v>
      </c>
      <c r="AG416" t="s">
        <v>64</v>
      </c>
      <c r="AH416" s="1" t="s">
        <v>64</v>
      </c>
    </row>
    <row r="417" spans="1:34" ht="15" customHeight="1">
      <c r="A417" t="s">
        <v>715</v>
      </c>
      <c r="B417" t="s">
        <v>716</v>
      </c>
      <c r="C417" s="1">
        <v>3</v>
      </c>
      <c r="D417" t="s">
        <v>38</v>
      </c>
      <c r="E417" t="s">
        <v>38</v>
      </c>
      <c r="F417" t="s">
        <v>39</v>
      </c>
      <c r="G417" t="s">
        <v>40</v>
      </c>
      <c r="H417" t="s">
        <v>91</v>
      </c>
      <c r="I417" t="s">
        <v>92</v>
      </c>
      <c r="J417" t="s">
        <v>42</v>
      </c>
      <c r="K417" t="s">
        <v>42</v>
      </c>
      <c r="L417" t="s">
        <v>42</v>
      </c>
      <c r="M417" s="1" t="s">
        <v>42</v>
      </c>
      <c r="N417" s="39" t="s">
        <v>43</v>
      </c>
      <c r="O417" t="s">
        <v>86</v>
      </c>
      <c r="P417" s="39" t="s">
        <v>43</v>
      </c>
      <c r="Q417" t="s">
        <v>254</v>
      </c>
      <c r="R417" t="s">
        <v>255</v>
      </c>
      <c r="S417" t="s">
        <v>136</v>
      </c>
      <c r="T417" t="s">
        <v>42</v>
      </c>
      <c r="U417" t="s">
        <v>42</v>
      </c>
      <c r="V417" t="s">
        <v>42</v>
      </c>
      <c r="W417" s="8" t="s">
        <v>64</v>
      </c>
      <c r="X417" t="s">
        <v>42</v>
      </c>
      <c r="Y417" s="8">
        <v>1</v>
      </c>
      <c r="Z417">
        <v>0</v>
      </c>
      <c r="AA417">
        <v>0</v>
      </c>
      <c r="AB417">
        <v>0</v>
      </c>
      <c r="AC417" s="5">
        <v>1999</v>
      </c>
      <c r="AD417" s="1">
        <v>2001</v>
      </c>
      <c r="AE417" s="6">
        <v>3</v>
      </c>
      <c r="AF417">
        <v>3</v>
      </c>
      <c r="AG417" t="s">
        <v>64</v>
      </c>
      <c r="AH417" s="1" t="s">
        <v>64</v>
      </c>
    </row>
    <row r="418" spans="1:34" ht="15" customHeight="1">
      <c r="A418" t="s">
        <v>715</v>
      </c>
      <c r="B418" t="s">
        <v>716</v>
      </c>
      <c r="C418" s="1">
        <v>4</v>
      </c>
      <c r="D418" t="s">
        <v>38</v>
      </c>
      <c r="E418" t="s">
        <v>38</v>
      </c>
      <c r="F418" t="s">
        <v>39</v>
      </c>
      <c r="G418" t="s">
        <v>40</v>
      </c>
      <c r="H418" t="s">
        <v>91</v>
      </c>
      <c r="I418" t="s">
        <v>92</v>
      </c>
      <c r="J418" t="s">
        <v>42</v>
      </c>
      <c r="K418" t="s">
        <v>42</v>
      </c>
      <c r="L418" t="s">
        <v>42</v>
      </c>
      <c r="M418" s="1" t="s">
        <v>42</v>
      </c>
      <c r="N418" s="39" t="s">
        <v>132</v>
      </c>
      <c r="O418" t="s">
        <v>86</v>
      </c>
      <c r="P418" s="39" t="s">
        <v>717</v>
      </c>
      <c r="Q418" t="s">
        <v>254</v>
      </c>
      <c r="R418" t="s">
        <v>255</v>
      </c>
      <c r="S418" t="s">
        <v>389</v>
      </c>
      <c r="T418" t="s">
        <v>42</v>
      </c>
      <c r="U418" t="s">
        <v>42</v>
      </c>
      <c r="V418" t="s">
        <v>42</v>
      </c>
      <c r="W418" s="8" t="s">
        <v>64</v>
      </c>
      <c r="X418" t="s">
        <v>42</v>
      </c>
      <c r="Y418" s="8">
        <v>1</v>
      </c>
      <c r="Z418">
        <v>0</v>
      </c>
      <c r="AA418">
        <v>0</v>
      </c>
      <c r="AB418">
        <v>0</v>
      </c>
      <c r="AC418" s="5">
        <v>1999</v>
      </c>
      <c r="AD418" s="1">
        <v>2001</v>
      </c>
      <c r="AE418" s="6">
        <v>3</v>
      </c>
      <c r="AF418">
        <v>36</v>
      </c>
      <c r="AG418" t="s">
        <v>64</v>
      </c>
      <c r="AH418" s="1" t="s">
        <v>64</v>
      </c>
    </row>
    <row r="419" spans="1:34" ht="15" customHeight="1">
      <c r="A419" t="s">
        <v>715</v>
      </c>
      <c r="B419" t="s">
        <v>716</v>
      </c>
      <c r="C419" s="1">
        <v>5</v>
      </c>
      <c r="D419" t="s">
        <v>38</v>
      </c>
      <c r="E419" t="s">
        <v>38</v>
      </c>
      <c r="F419" t="s">
        <v>39</v>
      </c>
      <c r="G419" t="s">
        <v>40</v>
      </c>
      <c r="H419" t="s">
        <v>91</v>
      </c>
      <c r="I419" t="s">
        <v>92</v>
      </c>
      <c r="J419" t="s">
        <v>42</v>
      </c>
      <c r="K419" t="s">
        <v>42</v>
      </c>
      <c r="L419" t="s">
        <v>42</v>
      </c>
      <c r="M419" s="1" t="s">
        <v>42</v>
      </c>
      <c r="N419" s="39" t="s">
        <v>132</v>
      </c>
      <c r="O419" t="s">
        <v>86</v>
      </c>
      <c r="P419" s="39" t="s">
        <v>718</v>
      </c>
      <c r="Q419" t="s">
        <v>254</v>
      </c>
      <c r="R419" t="s">
        <v>255</v>
      </c>
      <c r="S419" t="s">
        <v>594</v>
      </c>
      <c r="T419" t="s">
        <v>42</v>
      </c>
      <c r="U419" t="s">
        <v>42</v>
      </c>
      <c r="V419" t="s">
        <v>42</v>
      </c>
      <c r="W419" s="8" t="s">
        <v>64</v>
      </c>
      <c r="X419" t="s">
        <v>42</v>
      </c>
      <c r="Y419" s="8">
        <v>1</v>
      </c>
      <c r="Z419">
        <v>0</v>
      </c>
      <c r="AA419">
        <v>0</v>
      </c>
      <c r="AB419">
        <v>0</v>
      </c>
      <c r="AC419" s="5">
        <v>1999</v>
      </c>
      <c r="AD419" s="1">
        <v>2001</v>
      </c>
      <c r="AE419" s="6">
        <v>3</v>
      </c>
      <c r="AF419">
        <v>36</v>
      </c>
      <c r="AG419" t="s">
        <v>64</v>
      </c>
      <c r="AH419" s="1" t="s">
        <v>64</v>
      </c>
    </row>
    <row r="420" spans="1:34" s="9" customFormat="1" ht="15" customHeight="1">
      <c r="A420" s="9" t="s">
        <v>715</v>
      </c>
      <c r="B420" s="9" t="s">
        <v>716</v>
      </c>
      <c r="C420" s="10">
        <v>6</v>
      </c>
      <c r="D420" s="9" t="s">
        <v>38</v>
      </c>
      <c r="E420" s="9" t="s">
        <v>38</v>
      </c>
      <c r="F420" s="9" t="s">
        <v>39</v>
      </c>
      <c r="G420" s="9" t="s">
        <v>40</v>
      </c>
      <c r="H420" s="9" t="s">
        <v>91</v>
      </c>
      <c r="I420" s="9" t="s">
        <v>92</v>
      </c>
      <c r="J420" s="9" t="s">
        <v>42</v>
      </c>
      <c r="K420" s="9" t="s">
        <v>42</v>
      </c>
      <c r="L420" s="9" t="s">
        <v>42</v>
      </c>
      <c r="M420" s="10" t="s">
        <v>42</v>
      </c>
      <c r="N420" s="40" t="s">
        <v>132</v>
      </c>
      <c r="O420" s="9" t="s">
        <v>86</v>
      </c>
      <c r="P420" s="40" t="s">
        <v>719</v>
      </c>
      <c r="Q420" s="9" t="s">
        <v>254</v>
      </c>
      <c r="R420" s="9" t="s">
        <v>255</v>
      </c>
      <c r="S420" s="9" t="s">
        <v>160</v>
      </c>
      <c r="T420" s="9" t="s">
        <v>42</v>
      </c>
      <c r="U420" s="9" t="s">
        <v>42</v>
      </c>
      <c r="V420" s="9" t="s">
        <v>42</v>
      </c>
      <c r="W420" s="11" t="s">
        <v>64</v>
      </c>
      <c r="X420" s="9" t="s">
        <v>42</v>
      </c>
      <c r="Y420" s="11">
        <v>1</v>
      </c>
      <c r="Z420" s="9">
        <v>0</v>
      </c>
      <c r="AA420" s="9">
        <v>0</v>
      </c>
      <c r="AB420" s="9">
        <v>0</v>
      </c>
      <c r="AC420" s="12">
        <v>1999</v>
      </c>
      <c r="AD420" s="10">
        <v>2001</v>
      </c>
      <c r="AE420" s="13">
        <v>3</v>
      </c>
      <c r="AF420" s="9">
        <v>36</v>
      </c>
      <c r="AG420" s="9" t="s">
        <v>64</v>
      </c>
      <c r="AH420" s="10" t="s">
        <v>64</v>
      </c>
    </row>
    <row r="421" spans="1:34" ht="15" customHeight="1">
      <c r="A421" t="s">
        <v>720</v>
      </c>
      <c r="B421" t="s">
        <v>721</v>
      </c>
      <c r="C421" s="24">
        <v>1</v>
      </c>
      <c r="D421" t="s">
        <v>38</v>
      </c>
      <c r="E421" t="s">
        <v>38</v>
      </c>
      <c r="F421" t="s">
        <v>39</v>
      </c>
      <c r="G421" t="s">
        <v>40</v>
      </c>
      <c r="H421" t="s">
        <v>91</v>
      </c>
      <c r="I421" t="s">
        <v>92</v>
      </c>
      <c r="J421" t="s">
        <v>42</v>
      </c>
      <c r="K421" t="s">
        <v>42</v>
      </c>
      <c r="L421" t="s">
        <v>42</v>
      </c>
      <c r="M421" t="s">
        <v>42</v>
      </c>
      <c r="N421" s="39" t="s">
        <v>722</v>
      </c>
      <c r="O421" t="s">
        <v>44</v>
      </c>
      <c r="P421" s="39" t="s">
        <v>723</v>
      </c>
      <c r="Q421" t="s">
        <v>254</v>
      </c>
      <c r="R421" t="s">
        <v>255</v>
      </c>
      <c r="S421" t="s">
        <v>724</v>
      </c>
      <c r="T421" t="s">
        <v>725</v>
      </c>
      <c r="U421" t="s">
        <v>42</v>
      </c>
      <c r="V421" t="s">
        <v>42</v>
      </c>
      <c r="W421" s="8" t="s">
        <v>50</v>
      </c>
      <c r="X421" t="s">
        <v>726</v>
      </c>
      <c r="Y421" s="8">
        <v>1</v>
      </c>
      <c r="Z421">
        <v>3</v>
      </c>
      <c r="AA421">
        <v>0</v>
      </c>
      <c r="AB421">
        <v>0</v>
      </c>
      <c r="AC421" s="5">
        <v>2009</v>
      </c>
      <c r="AD421" s="1">
        <v>2009</v>
      </c>
      <c r="AE421" s="6" t="s">
        <v>72</v>
      </c>
      <c r="AF421">
        <v>1</v>
      </c>
      <c r="AG421" t="s">
        <v>64</v>
      </c>
      <c r="AH421" s="1" t="s">
        <v>64</v>
      </c>
    </row>
    <row r="422" spans="1:34" ht="15" customHeight="1">
      <c r="A422" t="s">
        <v>720</v>
      </c>
      <c r="B422" t="s">
        <v>721</v>
      </c>
      <c r="C422" s="24">
        <v>2</v>
      </c>
      <c r="D422" t="s">
        <v>38</v>
      </c>
      <c r="E422" t="s">
        <v>38</v>
      </c>
      <c r="F422" t="s">
        <v>39</v>
      </c>
      <c r="G422" t="s">
        <v>40</v>
      </c>
      <c r="H422" t="s">
        <v>91</v>
      </c>
      <c r="I422" t="s">
        <v>92</v>
      </c>
      <c r="J422" t="s">
        <v>42</v>
      </c>
      <c r="K422" t="s">
        <v>42</v>
      </c>
      <c r="L422" t="s">
        <v>42</v>
      </c>
      <c r="M422" t="s">
        <v>42</v>
      </c>
      <c r="N422" s="39" t="s">
        <v>722</v>
      </c>
      <c r="O422" t="s">
        <v>44</v>
      </c>
      <c r="P422" s="39" t="s">
        <v>727</v>
      </c>
      <c r="Q422" t="s">
        <v>254</v>
      </c>
      <c r="R422" t="s">
        <v>255</v>
      </c>
      <c r="S422" t="s">
        <v>724</v>
      </c>
      <c r="T422" t="s">
        <v>725</v>
      </c>
      <c r="U422" t="s">
        <v>42</v>
      </c>
      <c r="V422" t="s">
        <v>42</v>
      </c>
      <c r="W422" s="8" t="s">
        <v>50</v>
      </c>
      <c r="X422" t="s">
        <v>726</v>
      </c>
      <c r="Y422" s="8">
        <v>1</v>
      </c>
      <c r="Z422">
        <v>3</v>
      </c>
      <c r="AA422">
        <v>0</v>
      </c>
      <c r="AB422">
        <v>0</v>
      </c>
      <c r="AC422" s="5">
        <v>2009</v>
      </c>
      <c r="AD422" s="1">
        <v>2009</v>
      </c>
      <c r="AE422" s="6" t="s">
        <v>72</v>
      </c>
      <c r="AF422">
        <v>1</v>
      </c>
      <c r="AG422" t="s">
        <v>64</v>
      </c>
      <c r="AH422" s="1" t="s">
        <v>64</v>
      </c>
    </row>
    <row r="423" spans="1:34" ht="15" customHeight="1">
      <c r="A423" t="s">
        <v>720</v>
      </c>
      <c r="B423" t="s">
        <v>721</v>
      </c>
      <c r="C423" s="24">
        <v>3</v>
      </c>
      <c r="D423" t="s">
        <v>38</v>
      </c>
      <c r="E423" t="s">
        <v>38</v>
      </c>
      <c r="F423" t="s">
        <v>39</v>
      </c>
      <c r="G423" t="s">
        <v>40</v>
      </c>
      <c r="H423" t="s">
        <v>91</v>
      </c>
      <c r="I423" t="s">
        <v>92</v>
      </c>
      <c r="J423" t="s">
        <v>42</v>
      </c>
      <c r="K423" t="s">
        <v>42</v>
      </c>
      <c r="L423" t="s">
        <v>42</v>
      </c>
      <c r="M423" t="s">
        <v>42</v>
      </c>
      <c r="N423" s="39" t="s">
        <v>722</v>
      </c>
      <c r="O423" t="s">
        <v>44</v>
      </c>
      <c r="P423" s="39" t="s">
        <v>728</v>
      </c>
      <c r="Q423" t="s">
        <v>254</v>
      </c>
      <c r="R423" t="s">
        <v>255</v>
      </c>
      <c r="S423" t="s">
        <v>724</v>
      </c>
      <c r="T423" t="s">
        <v>725</v>
      </c>
      <c r="U423" t="s">
        <v>42</v>
      </c>
      <c r="V423" t="s">
        <v>42</v>
      </c>
      <c r="W423" s="8" t="s">
        <v>50</v>
      </c>
      <c r="X423" t="s">
        <v>726</v>
      </c>
      <c r="Y423" s="8">
        <v>1</v>
      </c>
      <c r="Z423">
        <v>3</v>
      </c>
      <c r="AA423">
        <v>0</v>
      </c>
      <c r="AB423">
        <v>0</v>
      </c>
      <c r="AC423" s="5">
        <v>2009</v>
      </c>
      <c r="AD423" s="1">
        <v>2009</v>
      </c>
      <c r="AE423" s="6" t="s">
        <v>72</v>
      </c>
      <c r="AF423">
        <v>1</v>
      </c>
      <c r="AG423" t="s">
        <v>64</v>
      </c>
      <c r="AH423" s="1" t="s">
        <v>64</v>
      </c>
    </row>
    <row r="424" spans="1:34" ht="15" customHeight="1">
      <c r="A424" t="s">
        <v>720</v>
      </c>
      <c r="B424" t="s">
        <v>721</v>
      </c>
      <c r="C424" s="24">
        <v>4</v>
      </c>
      <c r="D424" t="s">
        <v>38</v>
      </c>
      <c r="E424" t="s">
        <v>38</v>
      </c>
      <c r="F424" t="s">
        <v>39</v>
      </c>
      <c r="G424" t="s">
        <v>40</v>
      </c>
      <c r="H424" t="s">
        <v>91</v>
      </c>
      <c r="I424" t="s">
        <v>92</v>
      </c>
      <c r="J424" t="s">
        <v>42</v>
      </c>
      <c r="K424" t="s">
        <v>42</v>
      </c>
      <c r="L424" t="s">
        <v>42</v>
      </c>
      <c r="M424" t="s">
        <v>42</v>
      </c>
      <c r="N424" s="39" t="s">
        <v>722</v>
      </c>
      <c r="O424" t="s">
        <v>44</v>
      </c>
      <c r="P424" s="39" t="s">
        <v>729</v>
      </c>
      <c r="Q424" t="s">
        <v>254</v>
      </c>
      <c r="R424" t="s">
        <v>255</v>
      </c>
      <c r="S424" t="s">
        <v>730</v>
      </c>
      <c r="T424" t="s">
        <v>725</v>
      </c>
      <c r="U424" t="s">
        <v>42</v>
      </c>
      <c r="V424" t="s">
        <v>42</v>
      </c>
      <c r="W424" s="8" t="s">
        <v>50</v>
      </c>
      <c r="X424" t="s">
        <v>726</v>
      </c>
      <c r="Y424" s="8">
        <v>1</v>
      </c>
      <c r="Z424">
        <v>3</v>
      </c>
      <c r="AA424">
        <v>0</v>
      </c>
      <c r="AB424">
        <v>0</v>
      </c>
      <c r="AC424" s="5">
        <v>2009</v>
      </c>
      <c r="AD424" s="1">
        <v>2009</v>
      </c>
      <c r="AE424" s="6" t="s">
        <v>72</v>
      </c>
      <c r="AF424">
        <v>1</v>
      </c>
      <c r="AG424" t="s">
        <v>64</v>
      </c>
      <c r="AH424" s="1" t="s">
        <v>64</v>
      </c>
    </row>
    <row r="425" spans="1:34" ht="15" customHeight="1">
      <c r="A425" t="s">
        <v>720</v>
      </c>
      <c r="B425" t="s">
        <v>721</v>
      </c>
      <c r="C425" s="24">
        <v>5</v>
      </c>
      <c r="D425" t="s">
        <v>38</v>
      </c>
      <c r="E425" t="s">
        <v>38</v>
      </c>
      <c r="F425" t="s">
        <v>39</v>
      </c>
      <c r="G425" t="s">
        <v>40</v>
      </c>
      <c r="H425" t="s">
        <v>91</v>
      </c>
      <c r="I425" t="s">
        <v>92</v>
      </c>
      <c r="J425" t="s">
        <v>42</v>
      </c>
      <c r="K425" t="s">
        <v>42</v>
      </c>
      <c r="L425" t="s">
        <v>42</v>
      </c>
      <c r="M425" t="s">
        <v>42</v>
      </c>
      <c r="N425" s="39" t="s">
        <v>722</v>
      </c>
      <c r="O425" t="s">
        <v>44</v>
      </c>
      <c r="P425" s="39" t="s">
        <v>731</v>
      </c>
      <c r="Q425" t="s">
        <v>254</v>
      </c>
      <c r="R425" t="s">
        <v>255</v>
      </c>
      <c r="S425" t="s">
        <v>730</v>
      </c>
      <c r="T425" t="s">
        <v>725</v>
      </c>
      <c r="U425" t="s">
        <v>42</v>
      </c>
      <c r="V425" t="s">
        <v>42</v>
      </c>
      <c r="W425" s="8" t="s">
        <v>50</v>
      </c>
      <c r="X425" t="s">
        <v>726</v>
      </c>
      <c r="Y425" s="8">
        <v>1</v>
      </c>
      <c r="Z425">
        <v>3</v>
      </c>
      <c r="AA425">
        <v>0</v>
      </c>
      <c r="AB425">
        <v>0</v>
      </c>
      <c r="AC425" s="5">
        <v>2009</v>
      </c>
      <c r="AD425" s="1">
        <v>2009</v>
      </c>
      <c r="AE425" s="6" t="s">
        <v>72</v>
      </c>
      <c r="AF425">
        <v>1</v>
      </c>
      <c r="AG425" t="s">
        <v>64</v>
      </c>
      <c r="AH425" s="1" t="s">
        <v>64</v>
      </c>
    </row>
    <row r="426" spans="1:34" ht="15" customHeight="1">
      <c r="A426" t="s">
        <v>720</v>
      </c>
      <c r="B426" t="s">
        <v>721</v>
      </c>
      <c r="C426" s="24">
        <v>6</v>
      </c>
      <c r="D426" t="s">
        <v>38</v>
      </c>
      <c r="E426" t="s">
        <v>38</v>
      </c>
      <c r="F426" t="s">
        <v>39</v>
      </c>
      <c r="G426" t="s">
        <v>40</v>
      </c>
      <c r="H426" t="s">
        <v>91</v>
      </c>
      <c r="I426" t="s">
        <v>92</v>
      </c>
      <c r="J426" t="s">
        <v>42</v>
      </c>
      <c r="K426" t="s">
        <v>42</v>
      </c>
      <c r="L426" t="s">
        <v>42</v>
      </c>
      <c r="M426" t="s">
        <v>42</v>
      </c>
      <c r="N426" s="39" t="s">
        <v>722</v>
      </c>
      <c r="O426" t="s">
        <v>44</v>
      </c>
      <c r="P426" s="39" t="s">
        <v>732</v>
      </c>
      <c r="Q426" t="s">
        <v>254</v>
      </c>
      <c r="R426" t="s">
        <v>255</v>
      </c>
      <c r="S426" t="s">
        <v>730</v>
      </c>
      <c r="T426" t="s">
        <v>725</v>
      </c>
      <c r="U426" t="s">
        <v>42</v>
      </c>
      <c r="V426" t="s">
        <v>42</v>
      </c>
      <c r="W426" s="8" t="s">
        <v>50</v>
      </c>
      <c r="X426" t="s">
        <v>726</v>
      </c>
      <c r="Y426" s="8">
        <v>1</v>
      </c>
      <c r="Z426">
        <v>3</v>
      </c>
      <c r="AA426">
        <v>0</v>
      </c>
      <c r="AB426">
        <v>0</v>
      </c>
      <c r="AC426" s="5">
        <v>2009</v>
      </c>
      <c r="AD426" s="1">
        <v>2009</v>
      </c>
      <c r="AE426" s="6" t="s">
        <v>72</v>
      </c>
      <c r="AF426">
        <v>1</v>
      </c>
      <c r="AG426" t="s">
        <v>64</v>
      </c>
      <c r="AH426" s="1" t="s">
        <v>64</v>
      </c>
    </row>
    <row r="427" spans="1:34" s="9" customFormat="1" ht="15" customHeight="1">
      <c r="A427" s="9" t="s">
        <v>720</v>
      </c>
      <c r="B427" s="9" t="s">
        <v>721</v>
      </c>
      <c r="C427" s="25">
        <v>7</v>
      </c>
      <c r="D427" s="9" t="s">
        <v>38</v>
      </c>
      <c r="E427" s="9" t="s">
        <v>38</v>
      </c>
      <c r="F427" s="9" t="s">
        <v>39</v>
      </c>
      <c r="G427" s="9" t="s">
        <v>40</v>
      </c>
      <c r="H427" s="9" t="s">
        <v>91</v>
      </c>
      <c r="I427" s="9" t="s">
        <v>92</v>
      </c>
      <c r="J427" s="9" t="s">
        <v>42</v>
      </c>
      <c r="K427" s="9" t="s">
        <v>42</v>
      </c>
      <c r="L427" s="9" t="s">
        <v>42</v>
      </c>
      <c r="M427" s="9" t="s">
        <v>42</v>
      </c>
      <c r="N427" s="40" t="s">
        <v>722</v>
      </c>
      <c r="O427" s="9" t="s">
        <v>44</v>
      </c>
      <c r="P427" s="40" t="s">
        <v>733</v>
      </c>
      <c r="Q427" s="9" t="s">
        <v>254</v>
      </c>
      <c r="R427" s="9" t="s">
        <v>255</v>
      </c>
      <c r="S427" s="9" t="s">
        <v>734</v>
      </c>
      <c r="T427" s="9" t="s">
        <v>725</v>
      </c>
      <c r="U427" s="9" t="s">
        <v>42</v>
      </c>
      <c r="V427" s="9" t="s">
        <v>42</v>
      </c>
      <c r="W427" s="11" t="s">
        <v>50</v>
      </c>
      <c r="X427" t="s">
        <v>726</v>
      </c>
      <c r="Y427" s="11">
        <v>1</v>
      </c>
      <c r="Z427" s="9">
        <v>3</v>
      </c>
      <c r="AA427" s="9">
        <v>0</v>
      </c>
      <c r="AB427" s="9">
        <v>0</v>
      </c>
      <c r="AC427" s="12">
        <v>2009</v>
      </c>
      <c r="AD427" s="10">
        <v>2009</v>
      </c>
      <c r="AE427" s="13" t="s">
        <v>72</v>
      </c>
      <c r="AF427" s="9">
        <v>1</v>
      </c>
      <c r="AG427" s="9" t="s">
        <v>64</v>
      </c>
      <c r="AH427" s="10" t="s">
        <v>64</v>
      </c>
    </row>
    <row r="428" spans="1:34" s="9" customFormat="1" ht="12.75" customHeight="1">
      <c r="A428" s="9" t="s">
        <v>735</v>
      </c>
      <c r="B428" s="9" t="s">
        <v>736</v>
      </c>
      <c r="C428" s="10">
        <v>1</v>
      </c>
      <c r="D428" s="9" t="s">
        <v>38</v>
      </c>
      <c r="E428" s="9" t="s">
        <v>38</v>
      </c>
      <c r="F428" s="9" t="s">
        <v>116</v>
      </c>
      <c r="G428" s="9" t="s">
        <v>40</v>
      </c>
      <c r="H428" s="9" t="s">
        <v>42</v>
      </c>
      <c r="I428" s="9" t="s">
        <v>42</v>
      </c>
      <c r="J428" s="9" t="s">
        <v>42</v>
      </c>
      <c r="K428" s="9" t="s">
        <v>737</v>
      </c>
      <c r="L428" s="9" t="s">
        <v>707</v>
      </c>
      <c r="M428" s="9" t="s">
        <v>738</v>
      </c>
      <c r="N428" s="40" t="s">
        <v>359</v>
      </c>
      <c r="O428" s="9" t="s">
        <v>86</v>
      </c>
      <c r="P428" s="40" t="s">
        <v>655</v>
      </c>
      <c r="Q428" s="9" t="s">
        <v>42</v>
      </c>
      <c r="R428" s="9" t="s">
        <v>42</v>
      </c>
      <c r="S428" s="9" t="s">
        <v>88</v>
      </c>
      <c r="T428" s="9" t="s">
        <v>663</v>
      </c>
      <c r="U428" s="9" t="s">
        <v>42</v>
      </c>
      <c r="V428" s="9" t="s">
        <v>739</v>
      </c>
      <c r="W428" s="11" t="s">
        <v>42</v>
      </c>
      <c r="X428" s="9" t="s">
        <v>42</v>
      </c>
      <c r="Y428" s="11" t="s">
        <v>659</v>
      </c>
      <c r="Z428" s="11" t="s">
        <v>659</v>
      </c>
      <c r="AA428" s="11" t="s">
        <v>659</v>
      </c>
      <c r="AB428" s="11" t="s">
        <v>659</v>
      </c>
      <c r="AC428" s="12">
        <v>2011</v>
      </c>
      <c r="AD428" s="10">
        <v>2011</v>
      </c>
      <c r="AE428" s="13" t="s">
        <v>72</v>
      </c>
      <c r="AF428" s="9">
        <v>1</v>
      </c>
      <c r="AG428" s="9" t="s">
        <v>64</v>
      </c>
      <c r="AH428" s="10" t="s">
        <v>64</v>
      </c>
    </row>
    <row r="429" spans="1:34" ht="15" customHeight="1">
      <c r="A429" t="s">
        <v>740</v>
      </c>
      <c r="B429" t="s">
        <v>741</v>
      </c>
      <c r="C429" s="1">
        <v>1</v>
      </c>
      <c r="D429" t="s">
        <v>502</v>
      </c>
      <c r="E429" t="s">
        <v>426</v>
      </c>
      <c r="F429" t="s">
        <v>123</v>
      </c>
      <c r="G429" t="s">
        <v>40</v>
      </c>
      <c r="H429" t="s">
        <v>428</v>
      </c>
      <c r="I429" t="s">
        <v>42</v>
      </c>
      <c r="J429" t="s">
        <v>42</v>
      </c>
      <c r="K429" t="s">
        <v>742</v>
      </c>
      <c r="L429" t="s">
        <v>42</v>
      </c>
      <c r="M429" s="1" t="s">
        <v>42</v>
      </c>
      <c r="N429" s="39" t="s">
        <v>430</v>
      </c>
      <c r="O429" t="s">
        <v>86</v>
      </c>
      <c r="P429" s="39" t="s">
        <v>431</v>
      </c>
      <c r="Q429" t="s">
        <v>108</v>
      </c>
      <c r="R429" t="s">
        <v>109</v>
      </c>
      <c r="S429" t="s">
        <v>42</v>
      </c>
      <c r="T429" t="s">
        <v>42</v>
      </c>
      <c r="U429" t="s">
        <v>743</v>
      </c>
      <c r="V429" t="s">
        <v>42</v>
      </c>
      <c r="W429" s="8" t="s">
        <v>64</v>
      </c>
      <c r="X429" t="s">
        <v>42</v>
      </c>
      <c r="Y429" s="8">
        <v>0</v>
      </c>
      <c r="Z429">
        <v>0</v>
      </c>
      <c r="AA429">
        <v>45</v>
      </c>
      <c r="AB429">
        <v>0</v>
      </c>
      <c r="AC429" s="5">
        <v>2000</v>
      </c>
      <c r="AD429" s="1">
        <v>2009</v>
      </c>
      <c r="AE429" s="6">
        <v>9</v>
      </c>
      <c r="AF429">
        <v>1</v>
      </c>
      <c r="AG429" t="s">
        <v>64</v>
      </c>
      <c r="AH429" t="s">
        <v>64</v>
      </c>
    </row>
    <row r="430" spans="1:34" ht="15" customHeight="1">
      <c r="A430" t="s">
        <v>740</v>
      </c>
      <c r="B430" t="s">
        <v>741</v>
      </c>
      <c r="C430" s="1">
        <v>2</v>
      </c>
      <c r="D430" t="s">
        <v>502</v>
      </c>
      <c r="E430" t="s">
        <v>426</v>
      </c>
      <c r="F430" t="s">
        <v>123</v>
      </c>
      <c r="G430" t="s">
        <v>40</v>
      </c>
      <c r="H430" t="s">
        <v>428</v>
      </c>
      <c r="I430" t="s">
        <v>42</v>
      </c>
      <c r="J430" t="s">
        <v>42</v>
      </c>
      <c r="K430" t="s">
        <v>742</v>
      </c>
      <c r="L430" t="s">
        <v>42</v>
      </c>
      <c r="M430" s="1" t="s">
        <v>42</v>
      </c>
      <c r="N430" s="39" t="s">
        <v>430</v>
      </c>
      <c r="O430" t="s">
        <v>86</v>
      </c>
      <c r="P430" s="39" t="s">
        <v>434</v>
      </c>
      <c r="Q430" t="s">
        <v>108</v>
      </c>
      <c r="R430" t="s">
        <v>109</v>
      </c>
      <c r="S430" t="s">
        <v>42</v>
      </c>
      <c r="T430" t="s">
        <v>42</v>
      </c>
      <c r="U430" t="s">
        <v>743</v>
      </c>
      <c r="V430" t="s">
        <v>42</v>
      </c>
      <c r="W430" s="8" t="s">
        <v>64</v>
      </c>
      <c r="X430" t="s">
        <v>42</v>
      </c>
      <c r="Y430" s="8">
        <v>0</v>
      </c>
      <c r="Z430">
        <v>0</v>
      </c>
      <c r="AA430">
        <v>45</v>
      </c>
      <c r="AB430">
        <v>0</v>
      </c>
      <c r="AC430" s="5">
        <v>2000</v>
      </c>
      <c r="AD430" s="1">
        <v>2009</v>
      </c>
      <c r="AE430" s="6">
        <v>9</v>
      </c>
      <c r="AF430">
        <v>1</v>
      </c>
      <c r="AG430" t="s">
        <v>64</v>
      </c>
      <c r="AH430" t="s">
        <v>64</v>
      </c>
    </row>
    <row r="431" spans="1:34" s="9" customFormat="1" ht="15" customHeight="1">
      <c r="A431" s="9" t="s">
        <v>740</v>
      </c>
      <c r="B431" s="9" t="s">
        <v>741</v>
      </c>
      <c r="C431" s="10">
        <v>3</v>
      </c>
      <c r="D431" t="s">
        <v>502</v>
      </c>
      <c r="E431" s="9" t="s">
        <v>397</v>
      </c>
      <c r="F431" s="9" t="s">
        <v>123</v>
      </c>
      <c r="G431" s="9" t="s">
        <v>40</v>
      </c>
      <c r="H431" s="9" t="s">
        <v>428</v>
      </c>
      <c r="I431" s="9" t="s">
        <v>42</v>
      </c>
      <c r="J431" s="9" t="s">
        <v>42</v>
      </c>
      <c r="K431" s="9" t="s">
        <v>742</v>
      </c>
      <c r="L431" s="9" t="s">
        <v>42</v>
      </c>
      <c r="M431" s="10" t="s">
        <v>42</v>
      </c>
      <c r="N431" s="40" t="s">
        <v>506</v>
      </c>
      <c r="O431" s="9" t="s">
        <v>86</v>
      </c>
      <c r="P431" s="40" t="s">
        <v>744</v>
      </c>
      <c r="Q431" s="9" t="s">
        <v>108</v>
      </c>
      <c r="R431" s="9" t="s">
        <v>109</v>
      </c>
      <c r="S431" s="9" t="s">
        <v>511</v>
      </c>
      <c r="T431" s="9" t="s">
        <v>42</v>
      </c>
      <c r="U431" s="9" t="s">
        <v>743</v>
      </c>
      <c r="V431" s="9" t="s">
        <v>42</v>
      </c>
      <c r="W431" s="11" t="s">
        <v>50</v>
      </c>
      <c r="X431" s="9" t="s">
        <v>745</v>
      </c>
      <c r="Y431" s="11">
        <v>0</v>
      </c>
      <c r="Z431" s="9">
        <v>0</v>
      </c>
      <c r="AA431" s="9">
        <v>45</v>
      </c>
      <c r="AB431" s="9">
        <v>0</v>
      </c>
      <c r="AC431" s="12">
        <v>2000</v>
      </c>
      <c r="AD431" s="10">
        <v>2009</v>
      </c>
      <c r="AE431" s="13">
        <v>9</v>
      </c>
      <c r="AF431" s="9">
        <v>1</v>
      </c>
      <c r="AG431" s="9" t="s">
        <v>64</v>
      </c>
      <c r="AH431" s="9" t="s">
        <v>64</v>
      </c>
    </row>
    <row r="432" spans="1:34" s="9" customFormat="1" ht="15" customHeight="1">
      <c r="A432" s="9" t="s">
        <v>746</v>
      </c>
      <c r="B432" s="9" t="s">
        <v>747</v>
      </c>
      <c r="C432" s="25">
        <v>1</v>
      </c>
      <c r="D432" s="9" t="s">
        <v>397</v>
      </c>
      <c r="E432" s="9" t="s">
        <v>397</v>
      </c>
      <c r="F432" s="9" t="s">
        <v>116</v>
      </c>
      <c r="G432" s="9" t="s">
        <v>40</v>
      </c>
      <c r="H432" s="9" t="s">
        <v>42</v>
      </c>
      <c r="I432" s="9" t="s">
        <v>42</v>
      </c>
      <c r="J432" s="9" t="s">
        <v>42</v>
      </c>
      <c r="K432" s="9" t="s">
        <v>118</v>
      </c>
      <c r="L432" s="9" t="s">
        <v>748</v>
      </c>
      <c r="M432" s="10" t="s">
        <v>749</v>
      </c>
      <c r="N432" s="40" t="s">
        <v>506</v>
      </c>
      <c r="O432" s="9" t="s">
        <v>44</v>
      </c>
      <c r="P432" s="40" t="s">
        <v>750</v>
      </c>
      <c r="Q432" s="9" t="s">
        <v>42</v>
      </c>
      <c r="R432" s="9" t="s">
        <v>42</v>
      </c>
      <c r="S432" s="9" t="s">
        <v>514</v>
      </c>
      <c r="T432" s="9" t="s">
        <v>42</v>
      </c>
      <c r="U432" s="9" t="s">
        <v>42</v>
      </c>
      <c r="V432" s="9" t="s">
        <v>42</v>
      </c>
      <c r="W432" s="11" t="s">
        <v>50</v>
      </c>
      <c r="X432" s="11" t="s">
        <v>751</v>
      </c>
      <c r="Y432" s="11">
        <v>0</v>
      </c>
      <c r="Z432" s="9">
        <v>0</v>
      </c>
      <c r="AA432" s="9">
        <v>0</v>
      </c>
      <c r="AB432" s="9">
        <v>219</v>
      </c>
      <c r="AC432" s="12">
        <v>2003</v>
      </c>
      <c r="AD432" s="10">
        <v>2015</v>
      </c>
      <c r="AE432" s="13">
        <f t="shared" ref="AE432:AE437" si="10">AD432-AC432</f>
        <v>12</v>
      </c>
      <c r="AF432" s="9">
        <v>4</v>
      </c>
      <c r="AG432" s="9" t="s">
        <v>64</v>
      </c>
      <c r="AH432" s="10" t="s">
        <v>64</v>
      </c>
    </row>
    <row r="433" spans="1:34" ht="15" customHeight="1">
      <c r="A433" t="s">
        <v>752</v>
      </c>
      <c r="B433" t="s">
        <v>753</v>
      </c>
      <c r="C433" s="24">
        <v>1</v>
      </c>
      <c r="D433" t="s">
        <v>397</v>
      </c>
      <c r="E433" t="s">
        <v>397</v>
      </c>
      <c r="F433" t="s">
        <v>116</v>
      </c>
      <c r="G433" t="s">
        <v>40</v>
      </c>
      <c r="H433" t="s">
        <v>42</v>
      </c>
      <c r="I433" t="s">
        <v>42</v>
      </c>
      <c r="J433" t="s">
        <v>42</v>
      </c>
      <c r="K433" t="s">
        <v>754</v>
      </c>
      <c r="L433" t="s">
        <v>755</v>
      </c>
      <c r="M433" s="1" t="s">
        <v>42</v>
      </c>
      <c r="N433" s="39" t="s">
        <v>43</v>
      </c>
      <c r="O433" t="s">
        <v>44</v>
      </c>
      <c r="P433" s="39" t="s">
        <v>253</v>
      </c>
      <c r="Q433" t="s">
        <v>108</v>
      </c>
      <c r="R433" t="s">
        <v>109</v>
      </c>
      <c r="S433" t="s">
        <v>42</v>
      </c>
      <c r="T433" t="s">
        <v>42</v>
      </c>
      <c r="U433" t="s">
        <v>42</v>
      </c>
      <c r="V433" t="s">
        <v>42</v>
      </c>
      <c r="W433" s="8" t="s">
        <v>50</v>
      </c>
      <c r="X433" t="s">
        <v>756</v>
      </c>
      <c r="Y433" s="8">
        <v>0</v>
      </c>
      <c r="Z433">
        <v>0</v>
      </c>
      <c r="AA433">
        <v>232</v>
      </c>
      <c r="AB433">
        <v>0</v>
      </c>
      <c r="AC433" s="5">
        <v>1998</v>
      </c>
      <c r="AD433" s="1">
        <v>2018</v>
      </c>
      <c r="AE433" s="6">
        <f t="shared" si="10"/>
        <v>20</v>
      </c>
      <c r="AF433">
        <v>1</v>
      </c>
      <c r="AG433" t="s">
        <v>64</v>
      </c>
      <c r="AH433" s="1" t="s">
        <v>64</v>
      </c>
    </row>
    <row r="434" spans="1:34" ht="15" customHeight="1">
      <c r="A434" t="s">
        <v>752</v>
      </c>
      <c r="B434" t="s">
        <v>753</v>
      </c>
      <c r="C434" s="24">
        <v>2</v>
      </c>
      <c r="D434" t="s">
        <v>397</v>
      </c>
      <c r="E434" t="s">
        <v>397</v>
      </c>
      <c r="F434" t="s">
        <v>116</v>
      </c>
      <c r="G434" t="s">
        <v>40</v>
      </c>
      <c r="H434" t="s">
        <v>42</v>
      </c>
      <c r="I434" t="s">
        <v>42</v>
      </c>
      <c r="J434" t="s">
        <v>42</v>
      </c>
      <c r="K434" t="s">
        <v>754</v>
      </c>
      <c r="L434" t="s">
        <v>755</v>
      </c>
      <c r="M434" s="1" t="s">
        <v>42</v>
      </c>
      <c r="N434" s="39" t="s">
        <v>106</v>
      </c>
      <c r="O434" s="15" t="s">
        <v>44</v>
      </c>
      <c r="P434" s="39" t="s">
        <v>757</v>
      </c>
      <c r="Q434" t="s">
        <v>108</v>
      </c>
      <c r="R434" t="s">
        <v>109</v>
      </c>
      <c r="S434" t="s">
        <v>42</v>
      </c>
      <c r="T434" t="s">
        <v>42</v>
      </c>
      <c r="U434" t="s">
        <v>42</v>
      </c>
      <c r="V434" t="s">
        <v>42</v>
      </c>
      <c r="W434" s="8" t="s">
        <v>50</v>
      </c>
      <c r="X434" t="s">
        <v>756</v>
      </c>
      <c r="Y434" s="8">
        <v>0</v>
      </c>
      <c r="Z434">
        <v>0</v>
      </c>
      <c r="AA434">
        <v>232</v>
      </c>
      <c r="AB434">
        <v>0</v>
      </c>
      <c r="AC434" s="5">
        <v>1998</v>
      </c>
      <c r="AD434" s="1">
        <v>2018</v>
      </c>
      <c r="AE434" s="6">
        <f t="shared" si="10"/>
        <v>20</v>
      </c>
      <c r="AF434">
        <v>1</v>
      </c>
      <c r="AG434" t="s">
        <v>64</v>
      </c>
      <c r="AH434" s="1" t="s">
        <v>64</v>
      </c>
    </row>
    <row r="435" spans="1:34" s="9" customFormat="1" ht="15" customHeight="1">
      <c r="A435" s="9" t="s">
        <v>752</v>
      </c>
      <c r="B435" s="9" t="s">
        <v>753</v>
      </c>
      <c r="C435" s="25">
        <v>3</v>
      </c>
      <c r="D435" s="9" t="s">
        <v>397</v>
      </c>
      <c r="E435" s="9" t="s">
        <v>397</v>
      </c>
      <c r="F435" s="9" t="s">
        <v>116</v>
      </c>
      <c r="G435" s="9" t="s">
        <v>40</v>
      </c>
      <c r="H435" s="9" t="s">
        <v>42</v>
      </c>
      <c r="I435" s="9" t="s">
        <v>42</v>
      </c>
      <c r="J435" s="9" t="s">
        <v>42</v>
      </c>
      <c r="K435" s="9" t="s">
        <v>754</v>
      </c>
      <c r="L435" s="9" t="s">
        <v>755</v>
      </c>
      <c r="M435" s="10" t="s">
        <v>42</v>
      </c>
      <c r="N435" s="40" t="s">
        <v>623</v>
      </c>
      <c r="O435" s="17" t="s">
        <v>44</v>
      </c>
      <c r="P435" s="40" t="s">
        <v>758</v>
      </c>
      <c r="Q435" s="9" t="s">
        <v>108</v>
      </c>
      <c r="R435" s="9" t="s">
        <v>109</v>
      </c>
      <c r="S435" s="9" t="s">
        <v>42</v>
      </c>
      <c r="T435" s="9" t="s">
        <v>42</v>
      </c>
      <c r="U435" s="9" t="s">
        <v>42</v>
      </c>
      <c r="V435" s="9" t="s">
        <v>42</v>
      </c>
      <c r="W435" s="11" t="s">
        <v>50</v>
      </c>
      <c r="X435" s="9" t="s">
        <v>756</v>
      </c>
      <c r="Y435" s="11">
        <v>0</v>
      </c>
      <c r="Z435" s="9">
        <v>0</v>
      </c>
      <c r="AA435" s="9">
        <v>232</v>
      </c>
      <c r="AB435" s="9">
        <v>0</v>
      </c>
      <c r="AC435" s="12">
        <v>1998</v>
      </c>
      <c r="AD435" s="10">
        <v>2018</v>
      </c>
      <c r="AE435" s="13">
        <f t="shared" si="10"/>
        <v>20</v>
      </c>
      <c r="AF435" s="9">
        <v>1</v>
      </c>
      <c r="AG435" s="9" t="s">
        <v>64</v>
      </c>
      <c r="AH435" s="10" t="s">
        <v>64</v>
      </c>
    </row>
    <row r="436" spans="1:34" ht="15" customHeight="1">
      <c r="A436" t="s">
        <v>759</v>
      </c>
      <c r="B436" t="s">
        <v>760</v>
      </c>
      <c r="C436" s="1">
        <v>1</v>
      </c>
      <c r="D436" t="s">
        <v>38</v>
      </c>
      <c r="E436" t="s">
        <v>38</v>
      </c>
      <c r="F436" t="s">
        <v>39</v>
      </c>
      <c r="G436" t="s">
        <v>40</v>
      </c>
      <c r="H436" t="s">
        <v>91</v>
      </c>
      <c r="I436" t="s">
        <v>92</v>
      </c>
      <c r="J436" t="s">
        <v>42</v>
      </c>
      <c r="K436" t="s">
        <v>42</v>
      </c>
      <c r="L436" t="s">
        <v>42</v>
      </c>
      <c r="M436" s="1" t="s">
        <v>42</v>
      </c>
      <c r="N436" s="39" t="s">
        <v>99</v>
      </c>
      <c r="O436" t="s">
        <v>86</v>
      </c>
      <c r="P436" s="39" t="s">
        <v>761</v>
      </c>
      <c r="Q436" t="s">
        <v>254</v>
      </c>
      <c r="R436" t="s">
        <v>255</v>
      </c>
      <c r="S436" t="s">
        <v>762</v>
      </c>
      <c r="T436" t="s">
        <v>42</v>
      </c>
      <c r="U436" t="s">
        <v>42</v>
      </c>
      <c r="V436" t="s">
        <v>42</v>
      </c>
      <c r="W436" s="8" t="s">
        <v>64</v>
      </c>
      <c r="X436" t="s">
        <v>42</v>
      </c>
      <c r="Y436" s="8">
        <v>1</v>
      </c>
      <c r="Z436">
        <v>0</v>
      </c>
      <c r="AA436">
        <v>0</v>
      </c>
      <c r="AB436">
        <v>0</v>
      </c>
      <c r="AC436" s="5">
        <v>1995</v>
      </c>
      <c r="AD436" s="1">
        <v>2003</v>
      </c>
      <c r="AE436" s="6">
        <f t="shared" si="10"/>
        <v>8</v>
      </c>
      <c r="AF436">
        <v>33</v>
      </c>
      <c r="AG436" t="s">
        <v>64</v>
      </c>
      <c r="AH436" s="1" t="s">
        <v>64</v>
      </c>
    </row>
    <row r="437" spans="1:34" s="9" customFormat="1" ht="15" customHeight="1">
      <c r="A437" s="9" t="s">
        <v>759</v>
      </c>
      <c r="B437" s="9" t="s">
        <v>760</v>
      </c>
      <c r="C437" s="10">
        <v>2</v>
      </c>
      <c r="D437" s="9" t="s">
        <v>38</v>
      </c>
      <c r="E437" s="9" t="s">
        <v>38</v>
      </c>
      <c r="F437" s="9" t="s">
        <v>39</v>
      </c>
      <c r="G437" s="9" t="s">
        <v>40</v>
      </c>
      <c r="H437" s="9" t="s">
        <v>91</v>
      </c>
      <c r="I437" s="9" t="s">
        <v>92</v>
      </c>
      <c r="J437" s="9" t="s">
        <v>42</v>
      </c>
      <c r="K437" s="9" t="s">
        <v>42</v>
      </c>
      <c r="L437" s="9" t="s">
        <v>42</v>
      </c>
      <c r="M437" s="10" t="s">
        <v>42</v>
      </c>
      <c r="N437" s="40" t="s">
        <v>57</v>
      </c>
      <c r="O437" s="9" t="s">
        <v>86</v>
      </c>
      <c r="P437" s="40" t="s">
        <v>717</v>
      </c>
      <c r="Q437" s="9" t="s">
        <v>254</v>
      </c>
      <c r="R437" s="9" t="s">
        <v>255</v>
      </c>
      <c r="S437" s="9" t="s">
        <v>389</v>
      </c>
      <c r="T437" s="9" t="s">
        <v>763</v>
      </c>
      <c r="U437" s="9" t="s">
        <v>42</v>
      </c>
      <c r="V437" s="9" t="s">
        <v>42</v>
      </c>
      <c r="W437" s="11" t="s">
        <v>64</v>
      </c>
      <c r="X437" s="9" t="s">
        <v>42</v>
      </c>
      <c r="Y437" s="11">
        <v>1</v>
      </c>
      <c r="Z437" s="9">
        <v>0</v>
      </c>
      <c r="AA437" s="9">
        <v>0</v>
      </c>
      <c r="AB437" s="9">
        <v>0</v>
      </c>
      <c r="AC437" s="12">
        <v>1995</v>
      </c>
      <c r="AD437" s="10">
        <v>2003</v>
      </c>
      <c r="AE437" s="13">
        <f t="shared" si="10"/>
        <v>8</v>
      </c>
      <c r="AF437" s="9">
        <v>49</v>
      </c>
      <c r="AG437" s="9" t="s">
        <v>64</v>
      </c>
      <c r="AH437" s="10" t="s">
        <v>64</v>
      </c>
    </row>
    <row r="438" spans="1:34" ht="15" customHeight="1">
      <c r="A438" t="s">
        <v>764</v>
      </c>
      <c r="B438" t="s">
        <v>765</v>
      </c>
      <c r="C438" s="1">
        <v>1</v>
      </c>
      <c r="D438" t="s">
        <v>38</v>
      </c>
      <c r="E438" t="s">
        <v>38</v>
      </c>
      <c r="F438" t="s">
        <v>39</v>
      </c>
      <c r="G438" t="s">
        <v>40</v>
      </c>
      <c r="H438" t="s">
        <v>91</v>
      </c>
      <c r="I438" t="s">
        <v>92</v>
      </c>
      <c r="J438" t="s">
        <v>42</v>
      </c>
      <c r="K438" t="s">
        <v>42</v>
      </c>
      <c r="L438" t="s">
        <v>42</v>
      </c>
      <c r="M438" s="1" t="s">
        <v>42</v>
      </c>
      <c r="N438" s="39" t="s">
        <v>99</v>
      </c>
      <c r="O438" t="s">
        <v>86</v>
      </c>
      <c r="P438" s="39" t="s">
        <v>766</v>
      </c>
      <c r="Q438" t="s">
        <v>254</v>
      </c>
      <c r="R438" t="s">
        <v>255</v>
      </c>
      <c r="S438" t="s">
        <v>101</v>
      </c>
      <c r="T438" t="s">
        <v>42</v>
      </c>
      <c r="U438" t="s">
        <v>42</v>
      </c>
      <c r="V438" t="s">
        <v>42</v>
      </c>
      <c r="W438" s="8" t="s">
        <v>64</v>
      </c>
      <c r="X438" t="s">
        <v>42</v>
      </c>
      <c r="Y438" s="8">
        <v>1</v>
      </c>
      <c r="Z438">
        <v>0</v>
      </c>
      <c r="AA438">
        <v>0</v>
      </c>
      <c r="AB438">
        <v>0</v>
      </c>
      <c r="AC438" s="5">
        <v>1995</v>
      </c>
      <c r="AD438" s="1">
        <v>2000</v>
      </c>
      <c r="AE438" s="6">
        <v>5</v>
      </c>
      <c r="AF438">
        <v>108</v>
      </c>
      <c r="AG438" t="s">
        <v>50</v>
      </c>
      <c r="AH438" s="1" t="s">
        <v>64</v>
      </c>
    </row>
    <row r="439" spans="1:34" ht="15" customHeight="1">
      <c r="A439" t="s">
        <v>764</v>
      </c>
      <c r="B439" t="s">
        <v>765</v>
      </c>
      <c r="C439" s="1">
        <v>2</v>
      </c>
      <c r="D439" t="s">
        <v>38</v>
      </c>
      <c r="E439" t="s">
        <v>38</v>
      </c>
      <c r="F439" t="s">
        <v>39</v>
      </c>
      <c r="G439" t="s">
        <v>40</v>
      </c>
      <c r="H439" t="s">
        <v>91</v>
      </c>
      <c r="I439" t="s">
        <v>92</v>
      </c>
      <c r="J439" t="s">
        <v>42</v>
      </c>
      <c r="K439" t="s">
        <v>42</v>
      </c>
      <c r="L439" t="s">
        <v>42</v>
      </c>
      <c r="M439" s="1" t="s">
        <v>42</v>
      </c>
      <c r="N439" s="39" t="s">
        <v>99</v>
      </c>
      <c r="O439" t="s">
        <v>86</v>
      </c>
      <c r="P439" s="39" t="s">
        <v>767</v>
      </c>
      <c r="Q439" t="s">
        <v>254</v>
      </c>
      <c r="R439" t="s">
        <v>255</v>
      </c>
      <c r="S439" t="s">
        <v>768</v>
      </c>
      <c r="T439" t="s">
        <v>42</v>
      </c>
      <c r="U439" t="s">
        <v>42</v>
      </c>
      <c r="V439" t="s">
        <v>42</v>
      </c>
      <c r="W439" s="8" t="s">
        <v>64</v>
      </c>
      <c r="X439" t="s">
        <v>42</v>
      </c>
      <c r="Y439" s="8">
        <v>1</v>
      </c>
      <c r="Z439">
        <v>0</v>
      </c>
      <c r="AA439">
        <v>0</v>
      </c>
      <c r="AB439">
        <v>0</v>
      </c>
      <c r="AC439" s="5">
        <v>1995</v>
      </c>
      <c r="AD439" s="1">
        <v>1998</v>
      </c>
      <c r="AE439" s="6">
        <v>3</v>
      </c>
      <c r="AF439">
        <v>34</v>
      </c>
      <c r="AG439" t="s">
        <v>50</v>
      </c>
      <c r="AH439" s="1" t="s">
        <v>64</v>
      </c>
    </row>
    <row r="440" spans="1:34" ht="15" customHeight="1">
      <c r="A440" t="s">
        <v>764</v>
      </c>
      <c r="B440" t="s">
        <v>765</v>
      </c>
      <c r="C440" s="1">
        <v>3</v>
      </c>
      <c r="D440" t="s">
        <v>38</v>
      </c>
      <c r="E440" t="s">
        <v>38</v>
      </c>
      <c r="F440" t="s">
        <v>39</v>
      </c>
      <c r="G440" t="s">
        <v>40</v>
      </c>
      <c r="H440" t="s">
        <v>91</v>
      </c>
      <c r="I440" t="s">
        <v>92</v>
      </c>
      <c r="J440" t="s">
        <v>42</v>
      </c>
      <c r="K440" t="s">
        <v>42</v>
      </c>
      <c r="L440" t="s">
        <v>42</v>
      </c>
      <c r="M440" s="1" t="s">
        <v>42</v>
      </c>
      <c r="N440" s="39" t="s">
        <v>132</v>
      </c>
      <c r="O440" t="s">
        <v>86</v>
      </c>
      <c r="P440" s="39" t="s">
        <v>132</v>
      </c>
      <c r="Q440" t="s">
        <v>383</v>
      </c>
      <c r="R440" t="s">
        <v>42</v>
      </c>
      <c r="S440" t="s">
        <v>769</v>
      </c>
      <c r="T440" t="s">
        <v>42</v>
      </c>
      <c r="U440" t="s">
        <v>42</v>
      </c>
      <c r="V440" t="s">
        <v>42</v>
      </c>
      <c r="W440" s="8" t="s">
        <v>64</v>
      </c>
      <c r="X440" t="s">
        <v>42</v>
      </c>
      <c r="Y440" s="8">
        <v>1</v>
      </c>
      <c r="Z440">
        <v>0</v>
      </c>
      <c r="AA440">
        <v>0</v>
      </c>
      <c r="AB440">
        <v>0</v>
      </c>
      <c r="AC440" s="5">
        <v>1999</v>
      </c>
      <c r="AD440" s="1">
        <v>2000</v>
      </c>
      <c r="AE440" s="6">
        <v>1</v>
      </c>
      <c r="AF440">
        <v>26</v>
      </c>
      <c r="AG440" t="s">
        <v>50</v>
      </c>
      <c r="AH440" s="1" t="s">
        <v>64</v>
      </c>
    </row>
    <row r="441" spans="1:34" s="9" customFormat="1" ht="15" customHeight="1">
      <c r="A441" s="9" t="s">
        <v>764</v>
      </c>
      <c r="B441" s="9" t="s">
        <v>765</v>
      </c>
      <c r="C441" s="10">
        <v>4</v>
      </c>
      <c r="D441" s="9" t="s">
        <v>38</v>
      </c>
      <c r="E441" s="9" t="s">
        <v>38</v>
      </c>
      <c r="F441" s="9" t="s">
        <v>39</v>
      </c>
      <c r="G441" s="9" t="s">
        <v>40</v>
      </c>
      <c r="H441" s="9" t="s">
        <v>91</v>
      </c>
      <c r="I441" s="9" t="s">
        <v>92</v>
      </c>
      <c r="J441" s="9" t="s">
        <v>42</v>
      </c>
      <c r="K441" s="9" t="s">
        <v>42</v>
      </c>
      <c r="L441" s="9" t="s">
        <v>42</v>
      </c>
      <c r="M441" s="10" t="s">
        <v>42</v>
      </c>
      <c r="N441" s="40" t="s">
        <v>132</v>
      </c>
      <c r="O441" s="9" t="s">
        <v>86</v>
      </c>
      <c r="P441" s="59" t="s">
        <v>382</v>
      </c>
      <c r="Q441" s="9" t="s">
        <v>383</v>
      </c>
      <c r="R441" s="9" t="s">
        <v>42</v>
      </c>
      <c r="S441" s="9" t="s">
        <v>770</v>
      </c>
      <c r="T441" s="9" t="s">
        <v>42</v>
      </c>
      <c r="U441" s="9" t="s">
        <v>42</v>
      </c>
      <c r="V441" s="9" t="s">
        <v>42</v>
      </c>
      <c r="W441" s="11" t="s">
        <v>64</v>
      </c>
      <c r="X441" s="9" t="s">
        <v>42</v>
      </c>
      <c r="Y441" s="11">
        <v>1</v>
      </c>
      <c r="Z441" s="9">
        <v>0</v>
      </c>
      <c r="AA441" s="9">
        <v>0</v>
      </c>
      <c r="AB441" s="9">
        <v>0</v>
      </c>
      <c r="AC441" s="12">
        <v>1999</v>
      </c>
      <c r="AD441" s="10">
        <v>2000</v>
      </c>
      <c r="AE441" s="13">
        <v>1</v>
      </c>
      <c r="AF441" s="9">
        <v>26</v>
      </c>
      <c r="AG441" s="9" t="s">
        <v>50</v>
      </c>
      <c r="AH441" s="10" t="s">
        <v>64</v>
      </c>
    </row>
    <row r="442" spans="1:34" ht="15" customHeight="1">
      <c r="A442" t="s">
        <v>771</v>
      </c>
      <c r="B442" t="s">
        <v>772</v>
      </c>
      <c r="C442" s="24">
        <v>1</v>
      </c>
      <c r="D442" t="s">
        <v>38</v>
      </c>
      <c r="E442" t="s">
        <v>38</v>
      </c>
      <c r="F442" t="s">
        <v>123</v>
      </c>
      <c r="G442" t="s">
        <v>40</v>
      </c>
      <c r="H442" t="s">
        <v>185</v>
      </c>
      <c r="I442" t="s">
        <v>773</v>
      </c>
      <c r="J442" t="s">
        <v>42</v>
      </c>
      <c r="K442" t="s">
        <v>774</v>
      </c>
      <c r="L442" t="s">
        <v>775</v>
      </c>
      <c r="M442" s="1" t="s">
        <v>42</v>
      </c>
      <c r="N442" s="39" t="s">
        <v>359</v>
      </c>
      <c r="O442" t="s">
        <v>86</v>
      </c>
      <c r="P442" s="39" t="s">
        <v>776</v>
      </c>
      <c r="Q442" t="s">
        <v>777</v>
      </c>
      <c r="R442" t="s">
        <v>778</v>
      </c>
      <c r="S442" t="s">
        <v>88</v>
      </c>
      <c r="T442" t="s">
        <v>779</v>
      </c>
      <c r="U442" t="s">
        <v>42</v>
      </c>
      <c r="V442" t="s">
        <v>42</v>
      </c>
      <c r="W442" s="8" t="s">
        <v>64</v>
      </c>
      <c r="X442" t="s">
        <v>42</v>
      </c>
      <c r="Y442" s="8" t="s">
        <v>659</v>
      </c>
      <c r="Z442" t="s">
        <v>659</v>
      </c>
      <c r="AA442">
        <v>0</v>
      </c>
      <c r="AB442">
        <v>0</v>
      </c>
      <c r="AC442" s="5">
        <v>2004</v>
      </c>
      <c r="AD442" s="1">
        <v>2017</v>
      </c>
      <c r="AE442" s="6">
        <f t="shared" ref="AE442:AE467" si="11">AD442-AC442</f>
        <v>13</v>
      </c>
      <c r="AF442">
        <v>1</v>
      </c>
      <c r="AG442" t="s">
        <v>64</v>
      </c>
      <c r="AH442" s="1" t="s">
        <v>64</v>
      </c>
    </row>
    <row r="443" spans="1:34" ht="15" customHeight="1">
      <c r="A443" t="s">
        <v>771</v>
      </c>
      <c r="B443" t="s">
        <v>772</v>
      </c>
      <c r="C443" s="24">
        <v>2</v>
      </c>
      <c r="D443" t="s">
        <v>38</v>
      </c>
      <c r="E443" t="s">
        <v>38</v>
      </c>
      <c r="F443" t="s">
        <v>123</v>
      </c>
      <c r="G443" t="s">
        <v>40</v>
      </c>
      <c r="H443" t="s">
        <v>185</v>
      </c>
      <c r="I443" t="s">
        <v>773</v>
      </c>
      <c r="J443" t="s">
        <v>42</v>
      </c>
      <c r="K443" t="s">
        <v>774</v>
      </c>
      <c r="L443" t="s">
        <v>775</v>
      </c>
      <c r="M443" s="1" t="s">
        <v>42</v>
      </c>
      <c r="N443" s="39" t="s">
        <v>359</v>
      </c>
      <c r="O443" t="s">
        <v>86</v>
      </c>
      <c r="P443" s="39" t="s">
        <v>780</v>
      </c>
      <c r="Q443" t="s">
        <v>777</v>
      </c>
      <c r="R443" t="s">
        <v>778</v>
      </c>
      <c r="S443" t="s">
        <v>88</v>
      </c>
      <c r="T443" t="s">
        <v>42</v>
      </c>
      <c r="U443" t="s">
        <v>42</v>
      </c>
      <c r="V443" t="s">
        <v>42</v>
      </c>
      <c r="W443" s="8" t="s">
        <v>64</v>
      </c>
      <c r="X443" t="s">
        <v>42</v>
      </c>
      <c r="Y443" s="8" t="s">
        <v>659</v>
      </c>
      <c r="Z443" t="s">
        <v>659</v>
      </c>
      <c r="AA443">
        <v>0</v>
      </c>
      <c r="AB443">
        <v>0</v>
      </c>
      <c r="AC443" s="5">
        <v>2004</v>
      </c>
      <c r="AD443" s="1">
        <v>2017</v>
      </c>
      <c r="AE443" s="6">
        <f t="shared" si="11"/>
        <v>13</v>
      </c>
      <c r="AF443">
        <v>1</v>
      </c>
      <c r="AG443" t="s">
        <v>64</v>
      </c>
      <c r="AH443" s="1" t="s">
        <v>64</v>
      </c>
    </row>
    <row r="444" spans="1:34" s="9" customFormat="1" ht="15" customHeight="1">
      <c r="A444" s="9" t="s">
        <v>771</v>
      </c>
      <c r="B444" s="9" t="s">
        <v>772</v>
      </c>
      <c r="C444" s="25">
        <v>3</v>
      </c>
      <c r="D444" s="9" t="s">
        <v>38</v>
      </c>
      <c r="E444" s="9" t="s">
        <v>38</v>
      </c>
      <c r="F444" s="9" t="s">
        <v>123</v>
      </c>
      <c r="G444" s="9" t="s">
        <v>40</v>
      </c>
      <c r="H444" s="9" t="s">
        <v>185</v>
      </c>
      <c r="I444" s="9" t="s">
        <v>773</v>
      </c>
      <c r="J444" s="9" t="s">
        <v>42</v>
      </c>
      <c r="K444" s="9" t="s">
        <v>774</v>
      </c>
      <c r="L444" s="9" t="s">
        <v>775</v>
      </c>
      <c r="M444" s="10" t="s">
        <v>42</v>
      </c>
      <c r="N444" s="40" t="s">
        <v>132</v>
      </c>
      <c r="O444" s="9" t="s">
        <v>86</v>
      </c>
      <c r="P444" s="40" t="s">
        <v>132</v>
      </c>
      <c r="Q444" s="9" t="s">
        <v>777</v>
      </c>
      <c r="R444" s="9" t="s">
        <v>778</v>
      </c>
      <c r="S444" s="9" t="s">
        <v>364</v>
      </c>
      <c r="T444" s="9" t="s">
        <v>42</v>
      </c>
      <c r="U444" s="9" t="s">
        <v>42</v>
      </c>
      <c r="V444" s="9" t="s">
        <v>42</v>
      </c>
      <c r="W444" s="11" t="s">
        <v>64</v>
      </c>
      <c r="X444" s="9" t="s">
        <v>42</v>
      </c>
      <c r="Y444" s="11" t="s">
        <v>659</v>
      </c>
      <c r="Z444" t="s">
        <v>659</v>
      </c>
      <c r="AA444" s="9">
        <v>0</v>
      </c>
      <c r="AB444" s="9">
        <v>0</v>
      </c>
      <c r="AC444" s="12">
        <v>2004</v>
      </c>
      <c r="AD444" s="10">
        <v>2017</v>
      </c>
      <c r="AE444" s="13">
        <f t="shared" si="11"/>
        <v>13</v>
      </c>
      <c r="AF444" s="9">
        <v>1</v>
      </c>
      <c r="AG444" s="9" t="s">
        <v>64</v>
      </c>
      <c r="AH444" s="10" t="s">
        <v>64</v>
      </c>
    </row>
    <row r="445" spans="1:34" ht="15" customHeight="1">
      <c r="A445" t="s">
        <v>781</v>
      </c>
      <c r="B445" t="s">
        <v>782</v>
      </c>
      <c r="C445" s="1">
        <v>1</v>
      </c>
      <c r="D445" t="s">
        <v>38</v>
      </c>
      <c r="E445" t="s">
        <v>38</v>
      </c>
      <c r="F445" t="s">
        <v>123</v>
      </c>
      <c r="G445" t="s">
        <v>40</v>
      </c>
      <c r="H445" t="s">
        <v>91</v>
      </c>
      <c r="I445" t="s">
        <v>92</v>
      </c>
      <c r="J445" t="s">
        <v>42</v>
      </c>
      <c r="K445" t="s">
        <v>353</v>
      </c>
      <c r="L445" t="s">
        <v>42</v>
      </c>
      <c r="M445" s="1" t="s">
        <v>42</v>
      </c>
      <c r="N445" s="39" t="s">
        <v>57</v>
      </c>
      <c r="O445" t="s">
        <v>86</v>
      </c>
      <c r="P445" s="39" t="s">
        <v>57</v>
      </c>
      <c r="Q445" t="s">
        <v>42</v>
      </c>
      <c r="R445" t="s">
        <v>42</v>
      </c>
      <c r="S445" t="s">
        <v>783</v>
      </c>
      <c r="T445" t="s">
        <v>784</v>
      </c>
      <c r="U445" t="s">
        <v>42</v>
      </c>
      <c r="V445" t="s">
        <v>42</v>
      </c>
      <c r="W445" s="8" t="s">
        <v>64</v>
      </c>
      <c r="X445" t="s">
        <v>42</v>
      </c>
      <c r="Y445" s="8">
        <v>0</v>
      </c>
      <c r="Z445">
        <v>0</v>
      </c>
      <c r="AA445">
        <v>0</v>
      </c>
      <c r="AB445">
        <v>1</v>
      </c>
      <c r="AC445" s="5">
        <v>1999</v>
      </c>
      <c r="AD445" s="1">
        <v>2018</v>
      </c>
      <c r="AE445" s="6">
        <f t="shared" si="11"/>
        <v>19</v>
      </c>
      <c r="AF445">
        <v>4</v>
      </c>
      <c r="AG445" t="s">
        <v>64</v>
      </c>
      <c r="AH445" s="1" t="s">
        <v>64</v>
      </c>
    </row>
    <row r="446" spans="1:34" ht="15" customHeight="1">
      <c r="A446" t="s">
        <v>781</v>
      </c>
      <c r="B446" t="s">
        <v>782</v>
      </c>
      <c r="C446" s="1">
        <v>2</v>
      </c>
      <c r="D446" t="s">
        <v>38</v>
      </c>
      <c r="E446" t="s">
        <v>38</v>
      </c>
      <c r="F446" t="s">
        <v>123</v>
      </c>
      <c r="G446" t="s">
        <v>40</v>
      </c>
      <c r="H446" t="s">
        <v>91</v>
      </c>
      <c r="I446" t="s">
        <v>92</v>
      </c>
      <c r="J446" t="s">
        <v>42</v>
      </c>
      <c r="K446" t="s">
        <v>353</v>
      </c>
      <c r="L446" t="s">
        <v>42</v>
      </c>
      <c r="M446" s="1" t="s">
        <v>42</v>
      </c>
      <c r="N446" s="39" t="s">
        <v>402</v>
      </c>
      <c r="O446" t="s">
        <v>86</v>
      </c>
      <c r="P446" s="39" t="s">
        <v>785</v>
      </c>
      <c r="Q446" t="s">
        <v>42</v>
      </c>
      <c r="R446" t="s">
        <v>42</v>
      </c>
      <c r="S446" t="s">
        <v>783</v>
      </c>
      <c r="T446" t="s">
        <v>784</v>
      </c>
      <c r="U446" t="s">
        <v>42</v>
      </c>
      <c r="V446" t="s">
        <v>42</v>
      </c>
      <c r="W446" s="8" t="s">
        <v>64</v>
      </c>
      <c r="X446" t="s">
        <v>42</v>
      </c>
      <c r="Y446" s="8">
        <v>0</v>
      </c>
      <c r="Z446">
        <v>0</v>
      </c>
      <c r="AA446">
        <v>0</v>
      </c>
      <c r="AB446">
        <v>1</v>
      </c>
      <c r="AC446" s="5">
        <v>1999</v>
      </c>
      <c r="AD446" s="1">
        <v>2018</v>
      </c>
      <c r="AE446" s="6">
        <f t="shared" si="11"/>
        <v>19</v>
      </c>
      <c r="AF446">
        <v>4</v>
      </c>
      <c r="AG446" t="s">
        <v>64</v>
      </c>
      <c r="AH446" s="1" t="s">
        <v>64</v>
      </c>
    </row>
    <row r="447" spans="1:34" ht="15" customHeight="1">
      <c r="A447" t="s">
        <v>781</v>
      </c>
      <c r="B447" t="s">
        <v>782</v>
      </c>
      <c r="C447" s="1">
        <v>3</v>
      </c>
      <c r="D447" t="s">
        <v>38</v>
      </c>
      <c r="E447" t="s">
        <v>38</v>
      </c>
      <c r="F447" t="s">
        <v>123</v>
      </c>
      <c r="G447" t="s">
        <v>40</v>
      </c>
      <c r="H447" t="s">
        <v>91</v>
      </c>
      <c r="I447" t="s">
        <v>92</v>
      </c>
      <c r="J447" t="s">
        <v>42</v>
      </c>
      <c r="K447" t="s">
        <v>353</v>
      </c>
      <c r="L447" t="s">
        <v>42</v>
      </c>
      <c r="M447" s="1" t="s">
        <v>42</v>
      </c>
      <c r="N447" s="39" t="s">
        <v>786</v>
      </c>
      <c r="O447" t="s">
        <v>86</v>
      </c>
      <c r="P447" s="39" t="s">
        <v>787</v>
      </c>
      <c r="Q447" t="s">
        <v>42</v>
      </c>
      <c r="R447" t="s">
        <v>42</v>
      </c>
      <c r="S447" t="s">
        <v>783</v>
      </c>
      <c r="T447" t="s">
        <v>784</v>
      </c>
      <c r="U447" t="s">
        <v>42</v>
      </c>
      <c r="V447" t="s">
        <v>42</v>
      </c>
      <c r="W447" s="8" t="s">
        <v>64</v>
      </c>
      <c r="X447" t="s">
        <v>42</v>
      </c>
      <c r="Y447" s="8">
        <v>0</v>
      </c>
      <c r="Z447">
        <v>0</v>
      </c>
      <c r="AA447">
        <v>0</v>
      </c>
      <c r="AB447">
        <v>1</v>
      </c>
      <c r="AC447" s="5">
        <v>1999</v>
      </c>
      <c r="AD447" s="1">
        <v>2018</v>
      </c>
      <c r="AE447" s="6">
        <f t="shared" si="11"/>
        <v>19</v>
      </c>
      <c r="AF447">
        <v>4</v>
      </c>
      <c r="AG447" t="s">
        <v>64</v>
      </c>
      <c r="AH447" s="1" t="s">
        <v>64</v>
      </c>
    </row>
    <row r="448" spans="1:34" ht="15" customHeight="1">
      <c r="A448" t="s">
        <v>781</v>
      </c>
      <c r="B448" t="s">
        <v>782</v>
      </c>
      <c r="C448" s="1">
        <v>4</v>
      </c>
      <c r="D448" t="s">
        <v>38</v>
      </c>
      <c r="E448" t="s">
        <v>38</v>
      </c>
      <c r="F448" t="s">
        <v>123</v>
      </c>
      <c r="G448" t="s">
        <v>40</v>
      </c>
      <c r="H448" t="s">
        <v>91</v>
      </c>
      <c r="I448" t="s">
        <v>92</v>
      </c>
      <c r="J448" t="s">
        <v>42</v>
      </c>
      <c r="K448" t="s">
        <v>353</v>
      </c>
      <c r="L448" t="s">
        <v>42</v>
      </c>
      <c r="M448" s="1" t="s">
        <v>42</v>
      </c>
      <c r="N448" s="39" t="s">
        <v>786</v>
      </c>
      <c r="O448" t="s">
        <v>86</v>
      </c>
      <c r="P448" s="39" t="s">
        <v>788</v>
      </c>
      <c r="Q448" t="s">
        <v>42</v>
      </c>
      <c r="R448" t="s">
        <v>42</v>
      </c>
      <c r="S448" t="s">
        <v>783</v>
      </c>
      <c r="T448" t="s">
        <v>784</v>
      </c>
      <c r="U448" t="s">
        <v>42</v>
      </c>
      <c r="V448" t="s">
        <v>42</v>
      </c>
      <c r="W448" s="8" t="s">
        <v>64</v>
      </c>
      <c r="X448" t="s">
        <v>42</v>
      </c>
      <c r="Y448" s="8">
        <v>0</v>
      </c>
      <c r="Z448">
        <v>0</v>
      </c>
      <c r="AA448">
        <v>0</v>
      </c>
      <c r="AB448">
        <v>1</v>
      </c>
      <c r="AC448" s="5">
        <v>1999</v>
      </c>
      <c r="AD448" s="1">
        <v>2018</v>
      </c>
      <c r="AE448" s="6">
        <f t="shared" si="11"/>
        <v>19</v>
      </c>
      <c r="AF448">
        <v>4</v>
      </c>
      <c r="AG448" t="s">
        <v>64</v>
      </c>
      <c r="AH448" s="1" t="s">
        <v>64</v>
      </c>
    </row>
    <row r="449" spans="1:34" ht="15" customHeight="1">
      <c r="A449" t="s">
        <v>781</v>
      </c>
      <c r="B449" t="s">
        <v>782</v>
      </c>
      <c r="C449" s="1">
        <v>5</v>
      </c>
      <c r="D449" t="s">
        <v>38</v>
      </c>
      <c r="E449" t="s">
        <v>38</v>
      </c>
      <c r="F449" t="s">
        <v>123</v>
      </c>
      <c r="G449" t="s">
        <v>40</v>
      </c>
      <c r="H449" t="s">
        <v>91</v>
      </c>
      <c r="I449" t="s">
        <v>92</v>
      </c>
      <c r="J449" t="s">
        <v>42</v>
      </c>
      <c r="K449" t="s">
        <v>353</v>
      </c>
      <c r="L449" t="s">
        <v>42</v>
      </c>
      <c r="M449" s="1" t="s">
        <v>42</v>
      </c>
      <c r="N449" s="39" t="s">
        <v>786</v>
      </c>
      <c r="O449" t="s">
        <v>86</v>
      </c>
      <c r="P449" s="39" t="s">
        <v>789</v>
      </c>
      <c r="Q449" t="s">
        <v>42</v>
      </c>
      <c r="R449" t="s">
        <v>42</v>
      </c>
      <c r="S449" t="s">
        <v>88</v>
      </c>
      <c r="T449" t="s">
        <v>784</v>
      </c>
      <c r="U449" t="s">
        <v>42</v>
      </c>
      <c r="V449" t="s">
        <v>42</v>
      </c>
      <c r="W449" s="8" t="s">
        <v>64</v>
      </c>
      <c r="X449" t="s">
        <v>42</v>
      </c>
      <c r="Y449" s="8">
        <v>0</v>
      </c>
      <c r="Z449">
        <v>0</v>
      </c>
      <c r="AA449">
        <v>0</v>
      </c>
      <c r="AB449">
        <v>1</v>
      </c>
      <c r="AC449" s="5">
        <v>1999</v>
      </c>
      <c r="AD449" s="1">
        <v>2018</v>
      </c>
      <c r="AE449" s="6">
        <f t="shared" si="11"/>
        <v>19</v>
      </c>
      <c r="AF449">
        <v>4</v>
      </c>
      <c r="AG449" t="s">
        <v>64</v>
      </c>
      <c r="AH449" s="1" t="s">
        <v>64</v>
      </c>
    </row>
    <row r="450" spans="1:34" ht="15" customHeight="1">
      <c r="A450" t="s">
        <v>781</v>
      </c>
      <c r="B450" t="s">
        <v>782</v>
      </c>
      <c r="C450" s="1">
        <v>6</v>
      </c>
      <c r="D450" t="s">
        <v>38</v>
      </c>
      <c r="E450" t="s">
        <v>38</v>
      </c>
      <c r="F450" t="s">
        <v>123</v>
      </c>
      <c r="G450" t="s">
        <v>40</v>
      </c>
      <c r="H450" t="s">
        <v>91</v>
      </c>
      <c r="I450" t="s">
        <v>92</v>
      </c>
      <c r="J450" t="s">
        <v>42</v>
      </c>
      <c r="K450" t="s">
        <v>353</v>
      </c>
      <c r="L450" t="s">
        <v>42</v>
      </c>
      <c r="M450" s="1" t="s">
        <v>42</v>
      </c>
      <c r="N450" s="39" t="s">
        <v>786</v>
      </c>
      <c r="O450" t="s">
        <v>86</v>
      </c>
      <c r="P450" s="39" t="s">
        <v>790</v>
      </c>
      <c r="Q450" t="s">
        <v>42</v>
      </c>
      <c r="R450" t="s">
        <v>42</v>
      </c>
      <c r="S450" t="s">
        <v>88</v>
      </c>
      <c r="T450" t="s">
        <v>784</v>
      </c>
      <c r="U450" t="s">
        <v>42</v>
      </c>
      <c r="V450" t="s">
        <v>42</v>
      </c>
      <c r="W450" s="8" t="s">
        <v>64</v>
      </c>
      <c r="X450" t="s">
        <v>42</v>
      </c>
      <c r="Y450" s="8">
        <v>0</v>
      </c>
      <c r="Z450">
        <v>0</v>
      </c>
      <c r="AA450">
        <v>0</v>
      </c>
      <c r="AB450">
        <v>1</v>
      </c>
      <c r="AC450" s="5">
        <v>1999</v>
      </c>
      <c r="AD450" s="1">
        <v>2018</v>
      </c>
      <c r="AE450" s="6">
        <f t="shared" si="11"/>
        <v>19</v>
      </c>
      <c r="AF450">
        <v>4</v>
      </c>
      <c r="AG450" t="s">
        <v>64</v>
      </c>
      <c r="AH450" s="1" t="s">
        <v>64</v>
      </c>
    </row>
    <row r="451" spans="1:34" ht="15" customHeight="1">
      <c r="A451" t="s">
        <v>781</v>
      </c>
      <c r="B451" t="s">
        <v>782</v>
      </c>
      <c r="C451" s="1">
        <v>7</v>
      </c>
      <c r="D451" t="s">
        <v>38</v>
      </c>
      <c r="E451" t="s">
        <v>38</v>
      </c>
      <c r="F451" t="s">
        <v>123</v>
      </c>
      <c r="G451" t="s">
        <v>40</v>
      </c>
      <c r="H451" t="s">
        <v>91</v>
      </c>
      <c r="I451" t="s">
        <v>92</v>
      </c>
      <c r="J451" t="s">
        <v>42</v>
      </c>
      <c r="K451" t="s">
        <v>353</v>
      </c>
      <c r="L451" t="s">
        <v>42</v>
      </c>
      <c r="M451" s="1" t="s">
        <v>42</v>
      </c>
      <c r="N451" s="39" t="s">
        <v>786</v>
      </c>
      <c r="O451" t="s">
        <v>86</v>
      </c>
      <c r="P451" s="39" t="s">
        <v>711</v>
      </c>
      <c r="Q451" t="s">
        <v>42</v>
      </c>
      <c r="R451" t="s">
        <v>42</v>
      </c>
      <c r="S451" t="s">
        <v>783</v>
      </c>
      <c r="T451" t="s">
        <v>784</v>
      </c>
      <c r="U451" t="s">
        <v>42</v>
      </c>
      <c r="V451" t="s">
        <v>42</v>
      </c>
      <c r="W451" s="8" t="s">
        <v>64</v>
      </c>
      <c r="X451" t="s">
        <v>42</v>
      </c>
      <c r="Y451" s="8">
        <v>0</v>
      </c>
      <c r="Z451">
        <v>0</v>
      </c>
      <c r="AA451">
        <v>0</v>
      </c>
      <c r="AB451">
        <v>1</v>
      </c>
      <c r="AC451" s="5">
        <v>1999</v>
      </c>
      <c r="AD451" s="1">
        <v>2018</v>
      </c>
      <c r="AE451" s="6">
        <f t="shared" si="11"/>
        <v>19</v>
      </c>
      <c r="AF451">
        <v>4</v>
      </c>
      <c r="AG451" t="s">
        <v>64</v>
      </c>
      <c r="AH451" s="1" t="s">
        <v>64</v>
      </c>
    </row>
    <row r="452" spans="1:34" ht="15" customHeight="1">
      <c r="A452" t="s">
        <v>781</v>
      </c>
      <c r="B452" t="s">
        <v>782</v>
      </c>
      <c r="C452" s="1">
        <v>8</v>
      </c>
      <c r="D452" t="s">
        <v>38</v>
      </c>
      <c r="E452" t="s">
        <v>38</v>
      </c>
      <c r="F452" t="s">
        <v>123</v>
      </c>
      <c r="G452" t="s">
        <v>40</v>
      </c>
      <c r="H452" t="s">
        <v>91</v>
      </c>
      <c r="I452" t="s">
        <v>92</v>
      </c>
      <c r="J452" t="s">
        <v>42</v>
      </c>
      <c r="K452" t="s">
        <v>353</v>
      </c>
      <c r="L452" t="s">
        <v>42</v>
      </c>
      <c r="M452" s="1" t="s">
        <v>42</v>
      </c>
      <c r="N452" s="39" t="s">
        <v>402</v>
      </c>
      <c r="O452" t="s">
        <v>86</v>
      </c>
      <c r="P452" s="39" t="s">
        <v>791</v>
      </c>
      <c r="Q452" t="s">
        <v>42</v>
      </c>
      <c r="R452" t="s">
        <v>42</v>
      </c>
      <c r="S452" t="s">
        <v>783</v>
      </c>
      <c r="T452" t="s">
        <v>42</v>
      </c>
      <c r="U452" t="s">
        <v>42</v>
      </c>
      <c r="V452" t="s">
        <v>42</v>
      </c>
      <c r="W452" s="8" t="s">
        <v>64</v>
      </c>
      <c r="X452" t="s">
        <v>42</v>
      </c>
      <c r="Y452" s="8">
        <v>0</v>
      </c>
      <c r="Z452">
        <v>0</v>
      </c>
      <c r="AA452">
        <v>0</v>
      </c>
      <c r="AB452">
        <v>1</v>
      </c>
      <c r="AC452" s="5">
        <v>1999</v>
      </c>
      <c r="AD452" s="1">
        <v>2018</v>
      </c>
      <c r="AE452" s="6">
        <f t="shared" si="11"/>
        <v>19</v>
      </c>
      <c r="AF452">
        <v>4</v>
      </c>
      <c r="AG452" t="s">
        <v>64</v>
      </c>
      <c r="AH452" s="1" t="s">
        <v>64</v>
      </c>
    </row>
    <row r="453" spans="1:34" ht="15" customHeight="1">
      <c r="A453" t="s">
        <v>781</v>
      </c>
      <c r="B453" t="s">
        <v>782</v>
      </c>
      <c r="C453" s="1">
        <v>9</v>
      </c>
      <c r="D453" t="s">
        <v>38</v>
      </c>
      <c r="E453" t="s">
        <v>38</v>
      </c>
      <c r="F453" t="s">
        <v>123</v>
      </c>
      <c r="G453" t="s">
        <v>40</v>
      </c>
      <c r="H453" t="s">
        <v>91</v>
      </c>
      <c r="I453" t="s">
        <v>92</v>
      </c>
      <c r="J453" t="s">
        <v>42</v>
      </c>
      <c r="K453" t="s">
        <v>353</v>
      </c>
      <c r="L453" t="s">
        <v>42</v>
      </c>
      <c r="M453" s="1" t="s">
        <v>42</v>
      </c>
      <c r="N453" s="39" t="s">
        <v>786</v>
      </c>
      <c r="O453" t="s">
        <v>86</v>
      </c>
      <c r="P453" s="39" t="s">
        <v>792</v>
      </c>
      <c r="Q453" t="s">
        <v>42</v>
      </c>
      <c r="R453" t="s">
        <v>42</v>
      </c>
      <c r="S453" t="s">
        <v>783</v>
      </c>
      <c r="T453" t="s">
        <v>42</v>
      </c>
      <c r="U453" t="s">
        <v>42</v>
      </c>
      <c r="V453" t="s">
        <v>42</v>
      </c>
      <c r="W453" s="8" t="s">
        <v>64</v>
      </c>
      <c r="X453" t="s">
        <v>42</v>
      </c>
      <c r="Y453" s="8">
        <v>0</v>
      </c>
      <c r="Z453">
        <v>0</v>
      </c>
      <c r="AA453">
        <v>0</v>
      </c>
      <c r="AB453">
        <v>1</v>
      </c>
      <c r="AC453" s="5">
        <v>1999</v>
      </c>
      <c r="AD453" s="1">
        <v>2018</v>
      </c>
      <c r="AE453" s="6">
        <f t="shared" si="11"/>
        <v>19</v>
      </c>
      <c r="AF453">
        <v>4</v>
      </c>
      <c r="AG453" t="s">
        <v>64</v>
      </c>
      <c r="AH453" s="1" t="s">
        <v>64</v>
      </c>
    </row>
    <row r="454" spans="1:34" ht="15" customHeight="1">
      <c r="A454" t="s">
        <v>781</v>
      </c>
      <c r="B454" t="s">
        <v>782</v>
      </c>
      <c r="C454" s="1">
        <v>10</v>
      </c>
      <c r="D454" t="s">
        <v>38</v>
      </c>
      <c r="E454" t="s">
        <v>38</v>
      </c>
      <c r="F454" t="s">
        <v>123</v>
      </c>
      <c r="G454" t="s">
        <v>40</v>
      </c>
      <c r="H454" t="s">
        <v>91</v>
      </c>
      <c r="I454" t="s">
        <v>92</v>
      </c>
      <c r="J454" t="s">
        <v>42</v>
      </c>
      <c r="K454" t="s">
        <v>353</v>
      </c>
      <c r="L454" t="s">
        <v>42</v>
      </c>
      <c r="M454" s="1" t="s">
        <v>42</v>
      </c>
      <c r="N454" s="39" t="s">
        <v>786</v>
      </c>
      <c r="O454" t="s">
        <v>86</v>
      </c>
      <c r="P454" s="39" t="s">
        <v>793</v>
      </c>
      <c r="Q454" t="s">
        <v>42</v>
      </c>
      <c r="R454" t="s">
        <v>42</v>
      </c>
      <c r="S454" t="s">
        <v>783</v>
      </c>
      <c r="T454" t="s">
        <v>42</v>
      </c>
      <c r="U454" t="s">
        <v>42</v>
      </c>
      <c r="V454" t="s">
        <v>42</v>
      </c>
      <c r="W454" s="8" t="s">
        <v>64</v>
      </c>
      <c r="X454" t="s">
        <v>42</v>
      </c>
      <c r="Y454" s="8">
        <v>0</v>
      </c>
      <c r="Z454">
        <v>0</v>
      </c>
      <c r="AA454">
        <v>0</v>
      </c>
      <c r="AB454">
        <v>1</v>
      </c>
      <c r="AC454" s="5">
        <v>1999</v>
      </c>
      <c r="AD454" s="1">
        <v>2018</v>
      </c>
      <c r="AE454" s="6">
        <f t="shared" si="11"/>
        <v>19</v>
      </c>
      <c r="AF454">
        <v>4</v>
      </c>
      <c r="AG454" t="s">
        <v>64</v>
      </c>
      <c r="AH454" s="1" t="s">
        <v>64</v>
      </c>
    </row>
    <row r="455" spans="1:34" ht="15" customHeight="1">
      <c r="A455" t="s">
        <v>781</v>
      </c>
      <c r="B455" t="s">
        <v>782</v>
      </c>
      <c r="C455" s="1">
        <v>11</v>
      </c>
      <c r="D455" t="s">
        <v>38</v>
      </c>
      <c r="E455" t="s">
        <v>38</v>
      </c>
      <c r="F455" t="s">
        <v>123</v>
      </c>
      <c r="G455" t="s">
        <v>40</v>
      </c>
      <c r="H455" t="s">
        <v>91</v>
      </c>
      <c r="I455" t="s">
        <v>92</v>
      </c>
      <c r="J455" t="s">
        <v>42</v>
      </c>
      <c r="K455" t="s">
        <v>353</v>
      </c>
      <c r="L455" t="s">
        <v>42</v>
      </c>
      <c r="M455" s="1" t="s">
        <v>42</v>
      </c>
      <c r="N455" s="39" t="s">
        <v>786</v>
      </c>
      <c r="O455" t="s">
        <v>86</v>
      </c>
      <c r="P455" s="39" t="s">
        <v>794</v>
      </c>
      <c r="Q455" t="s">
        <v>42</v>
      </c>
      <c r="R455" t="s">
        <v>42</v>
      </c>
      <c r="S455" t="s">
        <v>783</v>
      </c>
      <c r="T455" t="s">
        <v>42</v>
      </c>
      <c r="U455" t="s">
        <v>42</v>
      </c>
      <c r="V455" t="s">
        <v>42</v>
      </c>
      <c r="W455" s="8" t="s">
        <v>64</v>
      </c>
      <c r="X455" t="s">
        <v>42</v>
      </c>
      <c r="Y455" s="8">
        <v>0</v>
      </c>
      <c r="Z455">
        <v>0</v>
      </c>
      <c r="AA455">
        <v>0</v>
      </c>
      <c r="AB455">
        <v>1</v>
      </c>
      <c r="AC455" s="5">
        <v>1999</v>
      </c>
      <c r="AD455" s="1">
        <v>2018</v>
      </c>
      <c r="AE455" s="6">
        <f t="shared" si="11"/>
        <v>19</v>
      </c>
      <c r="AF455">
        <v>4</v>
      </c>
      <c r="AG455" t="s">
        <v>64</v>
      </c>
      <c r="AH455" s="1" t="s">
        <v>64</v>
      </c>
    </row>
    <row r="456" spans="1:34" ht="15" customHeight="1">
      <c r="A456" t="s">
        <v>781</v>
      </c>
      <c r="B456" t="s">
        <v>782</v>
      </c>
      <c r="C456" s="1">
        <v>12</v>
      </c>
      <c r="D456" t="s">
        <v>38</v>
      </c>
      <c r="E456" t="s">
        <v>38</v>
      </c>
      <c r="F456" t="s">
        <v>123</v>
      </c>
      <c r="G456" t="s">
        <v>40</v>
      </c>
      <c r="H456" t="s">
        <v>91</v>
      </c>
      <c r="I456" t="s">
        <v>92</v>
      </c>
      <c r="J456" t="s">
        <v>42</v>
      </c>
      <c r="K456" t="s">
        <v>353</v>
      </c>
      <c r="L456" t="s">
        <v>42</v>
      </c>
      <c r="M456" s="1" t="s">
        <v>42</v>
      </c>
      <c r="N456" s="39" t="s">
        <v>786</v>
      </c>
      <c r="O456" t="s">
        <v>86</v>
      </c>
      <c r="P456" s="39" t="s">
        <v>795</v>
      </c>
      <c r="Q456" t="s">
        <v>42</v>
      </c>
      <c r="R456" t="s">
        <v>42</v>
      </c>
      <c r="S456" t="s">
        <v>783</v>
      </c>
      <c r="T456" t="s">
        <v>42</v>
      </c>
      <c r="U456" t="s">
        <v>42</v>
      </c>
      <c r="V456" t="s">
        <v>42</v>
      </c>
      <c r="W456" s="8" t="s">
        <v>64</v>
      </c>
      <c r="X456" t="s">
        <v>42</v>
      </c>
      <c r="Y456" s="8">
        <v>0</v>
      </c>
      <c r="Z456">
        <v>0</v>
      </c>
      <c r="AA456">
        <v>0</v>
      </c>
      <c r="AB456">
        <v>1</v>
      </c>
      <c r="AC456" s="5">
        <v>1999</v>
      </c>
      <c r="AD456" s="1">
        <v>2018</v>
      </c>
      <c r="AE456" s="6">
        <f t="shared" si="11"/>
        <v>19</v>
      </c>
      <c r="AF456">
        <v>4</v>
      </c>
      <c r="AG456" t="s">
        <v>64</v>
      </c>
      <c r="AH456" s="1" t="s">
        <v>64</v>
      </c>
    </row>
    <row r="457" spans="1:34" ht="15" customHeight="1">
      <c r="A457" t="s">
        <v>781</v>
      </c>
      <c r="B457" t="s">
        <v>782</v>
      </c>
      <c r="C457" s="1">
        <v>13</v>
      </c>
      <c r="D457" t="s">
        <v>38</v>
      </c>
      <c r="E457" t="s">
        <v>38</v>
      </c>
      <c r="F457" t="s">
        <v>123</v>
      </c>
      <c r="G457" t="s">
        <v>40</v>
      </c>
      <c r="H457" t="s">
        <v>91</v>
      </c>
      <c r="I457" t="s">
        <v>92</v>
      </c>
      <c r="J457" t="s">
        <v>42</v>
      </c>
      <c r="K457" t="s">
        <v>353</v>
      </c>
      <c r="L457" t="s">
        <v>42</v>
      </c>
      <c r="M457" s="1" t="s">
        <v>42</v>
      </c>
      <c r="N457" s="39" t="s">
        <v>402</v>
      </c>
      <c r="O457" t="s">
        <v>86</v>
      </c>
      <c r="P457" s="39" t="s">
        <v>796</v>
      </c>
      <c r="Q457" t="s">
        <v>42</v>
      </c>
      <c r="R457" t="s">
        <v>42</v>
      </c>
      <c r="S457" t="s">
        <v>42</v>
      </c>
      <c r="T457" t="s">
        <v>42</v>
      </c>
      <c r="U457" t="s">
        <v>42</v>
      </c>
      <c r="V457" t="s">
        <v>42</v>
      </c>
      <c r="W457" s="8" t="s">
        <v>64</v>
      </c>
      <c r="X457" t="s">
        <v>42</v>
      </c>
      <c r="Y457" s="8">
        <v>0</v>
      </c>
      <c r="Z457">
        <v>0</v>
      </c>
      <c r="AA457">
        <v>0</v>
      </c>
      <c r="AB457">
        <v>1</v>
      </c>
      <c r="AC457" s="5">
        <v>1999</v>
      </c>
      <c r="AD457" s="1">
        <v>2018</v>
      </c>
      <c r="AE457" s="6">
        <f t="shared" si="11"/>
        <v>19</v>
      </c>
      <c r="AF457">
        <v>4</v>
      </c>
      <c r="AG457" t="s">
        <v>64</v>
      </c>
      <c r="AH457" s="1" t="s">
        <v>64</v>
      </c>
    </row>
    <row r="458" spans="1:34" ht="15" customHeight="1">
      <c r="A458" t="s">
        <v>781</v>
      </c>
      <c r="B458" t="s">
        <v>782</v>
      </c>
      <c r="C458" s="1">
        <v>14</v>
      </c>
      <c r="D458" t="s">
        <v>38</v>
      </c>
      <c r="E458" t="s">
        <v>38</v>
      </c>
      <c r="F458" t="s">
        <v>123</v>
      </c>
      <c r="G458" t="s">
        <v>40</v>
      </c>
      <c r="H458" t="s">
        <v>91</v>
      </c>
      <c r="I458" t="s">
        <v>92</v>
      </c>
      <c r="J458" t="s">
        <v>42</v>
      </c>
      <c r="K458" t="s">
        <v>353</v>
      </c>
      <c r="L458" t="s">
        <v>42</v>
      </c>
      <c r="M458" s="1" t="s">
        <v>42</v>
      </c>
      <c r="N458" s="39" t="s">
        <v>106</v>
      </c>
      <c r="O458" t="s">
        <v>86</v>
      </c>
      <c r="P458" s="39" t="s">
        <v>797</v>
      </c>
      <c r="Q458" t="s">
        <v>42</v>
      </c>
      <c r="R458" t="s">
        <v>42</v>
      </c>
      <c r="S458" t="s">
        <v>798</v>
      </c>
      <c r="T458" t="s">
        <v>42</v>
      </c>
      <c r="U458" t="s">
        <v>42</v>
      </c>
      <c r="V458" t="s">
        <v>42</v>
      </c>
      <c r="W458" s="8" t="s">
        <v>64</v>
      </c>
      <c r="X458" t="s">
        <v>42</v>
      </c>
      <c r="Y458" s="8">
        <v>0</v>
      </c>
      <c r="Z458">
        <v>0</v>
      </c>
      <c r="AA458">
        <v>0</v>
      </c>
      <c r="AB458">
        <v>1</v>
      </c>
      <c r="AC458" s="5">
        <v>1999</v>
      </c>
      <c r="AD458" s="1">
        <v>2018</v>
      </c>
      <c r="AE458" s="6">
        <f t="shared" si="11"/>
        <v>19</v>
      </c>
      <c r="AF458">
        <v>4</v>
      </c>
      <c r="AG458" t="s">
        <v>64</v>
      </c>
      <c r="AH458" s="1" t="s">
        <v>64</v>
      </c>
    </row>
    <row r="459" spans="1:34" ht="15" customHeight="1">
      <c r="A459" t="s">
        <v>781</v>
      </c>
      <c r="B459" t="s">
        <v>782</v>
      </c>
      <c r="C459" s="1">
        <v>15</v>
      </c>
      <c r="D459" t="s">
        <v>38</v>
      </c>
      <c r="E459" t="s">
        <v>38</v>
      </c>
      <c r="F459" t="s">
        <v>123</v>
      </c>
      <c r="G459" t="s">
        <v>40</v>
      </c>
      <c r="H459" t="s">
        <v>91</v>
      </c>
      <c r="I459" t="s">
        <v>92</v>
      </c>
      <c r="J459" t="s">
        <v>42</v>
      </c>
      <c r="K459" t="s">
        <v>353</v>
      </c>
      <c r="L459" t="s">
        <v>42</v>
      </c>
      <c r="M459" s="1" t="s">
        <v>42</v>
      </c>
      <c r="N459" s="39" t="s">
        <v>786</v>
      </c>
      <c r="O459" t="s">
        <v>86</v>
      </c>
      <c r="P459" s="39" t="s">
        <v>799</v>
      </c>
      <c r="Q459" t="s">
        <v>42</v>
      </c>
      <c r="R459" t="s">
        <v>42</v>
      </c>
      <c r="S459" t="s">
        <v>783</v>
      </c>
      <c r="T459" t="s">
        <v>42</v>
      </c>
      <c r="U459" t="s">
        <v>42</v>
      </c>
      <c r="V459" t="s">
        <v>42</v>
      </c>
      <c r="W459" s="8" t="s">
        <v>64</v>
      </c>
      <c r="X459" t="s">
        <v>42</v>
      </c>
      <c r="Y459" s="8">
        <v>0</v>
      </c>
      <c r="Z459">
        <v>0</v>
      </c>
      <c r="AA459">
        <v>0</v>
      </c>
      <c r="AB459">
        <v>1</v>
      </c>
      <c r="AC459" s="5">
        <v>1999</v>
      </c>
      <c r="AD459" s="1">
        <v>2018</v>
      </c>
      <c r="AE459" s="6">
        <f t="shared" si="11"/>
        <v>19</v>
      </c>
      <c r="AF459">
        <v>4</v>
      </c>
      <c r="AG459" t="s">
        <v>64</v>
      </c>
      <c r="AH459" s="1" t="s">
        <v>64</v>
      </c>
    </row>
    <row r="460" spans="1:34" ht="15" customHeight="1">
      <c r="A460" t="s">
        <v>781</v>
      </c>
      <c r="B460" t="s">
        <v>782</v>
      </c>
      <c r="C460" s="1">
        <v>16</v>
      </c>
      <c r="D460" t="s">
        <v>38</v>
      </c>
      <c r="E460" t="s">
        <v>38</v>
      </c>
      <c r="F460" t="s">
        <v>123</v>
      </c>
      <c r="G460" t="s">
        <v>40</v>
      </c>
      <c r="H460" t="s">
        <v>91</v>
      </c>
      <c r="I460" t="s">
        <v>92</v>
      </c>
      <c r="J460" t="s">
        <v>42</v>
      </c>
      <c r="K460" t="s">
        <v>353</v>
      </c>
      <c r="L460" t="s">
        <v>42</v>
      </c>
      <c r="M460" s="1" t="s">
        <v>42</v>
      </c>
      <c r="N460" s="39" t="s">
        <v>786</v>
      </c>
      <c r="O460" t="s">
        <v>86</v>
      </c>
      <c r="P460" s="39" t="s">
        <v>800</v>
      </c>
      <c r="Q460" t="s">
        <v>42</v>
      </c>
      <c r="R460" t="s">
        <v>42</v>
      </c>
      <c r="S460" t="s">
        <v>783</v>
      </c>
      <c r="T460" t="s">
        <v>42</v>
      </c>
      <c r="U460" t="s">
        <v>42</v>
      </c>
      <c r="V460" t="s">
        <v>42</v>
      </c>
      <c r="W460" s="8" t="s">
        <v>64</v>
      </c>
      <c r="X460" t="s">
        <v>42</v>
      </c>
      <c r="Y460" s="8">
        <v>0</v>
      </c>
      <c r="Z460">
        <v>0</v>
      </c>
      <c r="AA460">
        <v>0</v>
      </c>
      <c r="AB460">
        <v>1</v>
      </c>
      <c r="AC460" s="5">
        <v>1999</v>
      </c>
      <c r="AD460" s="1">
        <v>2018</v>
      </c>
      <c r="AE460" s="6">
        <f t="shared" si="11"/>
        <v>19</v>
      </c>
      <c r="AF460">
        <v>4</v>
      </c>
      <c r="AG460" t="s">
        <v>64</v>
      </c>
      <c r="AH460" s="1" t="s">
        <v>64</v>
      </c>
    </row>
    <row r="461" spans="1:34" ht="15" customHeight="1">
      <c r="A461" t="s">
        <v>781</v>
      </c>
      <c r="B461" t="s">
        <v>782</v>
      </c>
      <c r="C461" s="1">
        <v>17</v>
      </c>
      <c r="D461" t="s">
        <v>38</v>
      </c>
      <c r="E461" t="s">
        <v>38</v>
      </c>
      <c r="F461" t="s">
        <v>123</v>
      </c>
      <c r="G461" t="s">
        <v>40</v>
      </c>
      <c r="H461" t="s">
        <v>91</v>
      </c>
      <c r="I461" t="s">
        <v>92</v>
      </c>
      <c r="J461" t="s">
        <v>42</v>
      </c>
      <c r="K461" t="s">
        <v>353</v>
      </c>
      <c r="L461" t="s">
        <v>42</v>
      </c>
      <c r="M461" s="1" t="s">
        <v>42</v>
      </c>
      <c r="N461" s="39" t="s">
        <v>786</v>
      </c>
      <c r="O461" t="s">
        <v>86</v>
      </c>
      <c r="P461" s="39" t="s">
        <v>801</v>
      </c>
      <c r="Q461" t="s">
        <v>42</v>
      </c>
      <c r="R461" t="s">
        <v>42</v>
      </c>
      <c r="S461" t="s">
        <v>88</v>
      </c>
      <c r="T461" t="s">
        <v>42</v>
      </c>
      <c r="U461" t="s">
        <v>42</v>
      </c>
      <c r="V461" t="s">
        <v>42</v>
      </c>
      <c r="W461" s="8" t="s">
        <v>64</v>
      </c>
      <c r="X461" t="s">
        <v>42</v>
      </c>
      <c r="Y461" s="8">
        <v>0</v>
      </c>
      <c r="Z461">
        <v>0</v>
      </c>
      <c r="AA461">
        <v>0</v>
      </c>
      <c r="AB461">
        <v>1</v>
      </c>
      <c r="AC461" s="5">
        <v>1999</v>
      </c>
      <c r="AD461" s="1">
        <v>2018</v>
      </c>
      <c r="AE461" s="6">
        <f t="shared" si="11"/>
        <v>19</v>
      </c>
      <c r="AF461">
        <v>4</v>
      </c>
      <c r="AG461" t="s">
        <v>64</v>
      </c>
      <c r="AH461" s="1" t="s">
        <v>64</v>
      </c>
    </row>
    <row r="462" spans="1:34" ht="15" customHeight="1">
      <c r="A462" t="s">
        <v>781</v>
      </c>
      <c r="B462" t="s">
        <v>782</v>
      </c>
      <c r="C462" s="1">
        <v>18</v>
      </c>
      <c r="D462" t="s">
        <v>38</v>
      </c>
      <c r="E462" t="s">
        <v>38</v>
      </c>
      <c r="F462" t="s">
        <v>123</v>
      </c>
      <c r="G462" t="s">
        <v>40</v>
      </c>
      <c r="H462" t="s">
        <v>91</v>
      </c>
      <c r="I462" t="s">
        <v>92</v>
      </c>
      <c r="J462" t="s">
        <v>42</v>
      </c>
      <c r="K462" t="s">
        <v>353</v>
      </c>
      <c r="L462" t="s">
        <v>42</v>
      </c>
      <c r="M462" s="1" t="s">
        <v>42</v>
      </c>
      <c r="N462" s="39" t="s">
        <v>786</v>
      </c>
      <c r="O462" t="s">
        <v>86</v>
      </c>
      <c r="P462" s="39" t="s">
        <v>802</v>
      </c>
      <c r="Q462" t="s">
        <v>42</v>
      </c>
      <c r="R462" t="s">
        <v>42</v>
      </c>
      <c r="S462" t="s">
        <v>689</v>
      </c>
      <c r="T462" t="s">
        <v>42</v>
      </c>
      <c r="U462" t="s">
        <v>42</v>
      </c>
      <c r="V462" t="s">
        <v>42</v>
      </c>
      <c r="W462" s="8" t="s">
        <v>64</v>
      </c>
      <c r="X462" t="s">
        <v>42</v>
      </c>
      <c r="Y462" s="8">
        <v>0</v>
      </c>
      <c r="Z462">
        <v>0</v>
      </c>
      <c r="AA462">
        <v>0</v>
      </c>
      <c r="AB462">
        <v>1</v>
      </c>
      <c r="AC462" s="5">
        <v>1999</v>
      </c>
      <c r="AD462" s="1">
        <v>2018</v>
      </c>
      <c r="AE462" s="6">
        <f t="shared" si="11"/>
        <v>19</v>
      </c>
      <c r="AF462">
        <v>4</v>
      </c>
      <c r="AG462" t="s">
        <v>64</v>
      </c>
      <c r="AH462" s="1" t="s">
        <v>64</v>
      </c>
    </row>
    <row r="463" spans="1:34" ht="15" customHeight="1">
      <c r="A463" t="s">
        <v>781</v>
      </c>
      <c r="B463" t="s">
        <v>782</v>
      </c>
      <c r="C463" s="1">
        <v>19</v>
      </c>
      <c r="D463" t="s">
        <v>38</v>
      </c>
      <c r="E463" t="s">
        <v>38</v>
      </c>
      <c r="F463" t="s">
        <v>123</v>
      </c>
      <c r="G463" t="s">
        <v>40</v>
      </c>
      <c r="H463" t="s">
        <v>91</v>
      </c>
      <c r="I463" t="s">
        <v>92</v>
      </c>
      <c r="J463" t="s">
        <v>42</v>
      </c>
      <c r="K463" t="s">
        <v>353</v>
      </c>
      <c r="L463" t="s">
        <v>42</v>
      </c>
      <c r="M463" s="1" t="s">
        <v>42</v>
      </c>
      <c r="N463" s="39" t="s">
        <v>786</v>
      </c>
      <c r="O463" t="s">
        <v>86</v>
      </c>
      <c r="P463" s="39" t="s">
        <v>803</v>
      </c>
      <c r="Q463" t="s">
        <v>42</v>
      </c>
      <c r="R463" t="s">
        <v>42</v>
      </c>
      <c r="S463" t="s">
        <v>804</v>
      </c>
      <c r="T463" t="s">
        <v>42</v>
      </c>
      <c r="U463" t="s">
        <v>42</v>
      </c>
      <c r="V463" t="s">
        <v>42</v>
      </c>
      <c r="W463" s="8" t="s">
        <v>64</v>
      </c>
      <c r="X463" t="s">
        <v>42</v>
      </c>
      <c r="Y463" s="8">
        <v>0</v>
      </c>
      <c r="Z463">
        <v>0</v>
      </c>
      <c r="AA463">
        <v>0</v>
      </c>
      <c r="AB463">
        <v>1</v>
      </c>
      <c r="AC463" s="5">
        <v>1999</v>
      </c>
      <c r="AD463" s="1">
        <v>2018</v>
      </c>
      <c r="AE463" s="6">
        <f t="shared" si="11"/>
        <v>19</v>
      </c>
      <c r="AF463">
        <v>4</v>
      </c>
      <c r="AG463" t="s">
        <v>64</v>
      </c>
      <c r="AH463" s="1" t="s">
        <v>64</v>
      </c>
    </row>
    <row r="464" spans="1:34" ht="15" customHeight="1">
      <c r="A464" t="s">
        <v>781</v>
      </c>
      <c r="B464" t="s">
        <v>782</v>
      </c>
      <c r="C464" s="1">
        <v>20</v>
      </c>
      <c r="D464" t="s">
        <v>38</v>
      </c>
      <c r="E464" t="s">
        <v>38</v>
      </c>
      <c r="F464" t="s">
        <v>123</v>
      </c>
      <c r="G464" t="s">
        <v>40</v>
      </c>
      <c r="H464" t="s">
        <v>91</v>
      </c>
      <c r="I464" t="s">
        <v>92</v>
      </c>
      <c r="J464" t="s">
        <v>42</v>
      </c>
      <c r="K464" t="s">
        <v>353</v>
      </c>
      <c r="L464" t="s">
        <v>42</v>
      </c>
      <c r="M464" s="1" t="s">
        <v>42</v>
      </c>
      <c r="N464" s="39" t="s">
        <v>786</v>
      </c>
      <c r="O464" t="s">
        <v>86</v>
      </c>
      <c r="P464" s="39" t="s">
        <v>805</v>
      </c>
      <c r="Q464" t="s">
        <v>42</v>
      </c>
      <c r="R464" t="s">
        <v>42</v>
      </c>
      <c r="S464" t="s">
        <v>42</v>
      </c>
      <c r="T464" t="s">
        <v>42</v>
      </c>
      <c r="U464" t="s">
        <v>42</v>
      </c>
      <c r="V464" t="s">
        <v>42</v>
      </c>
      <c r="W464" s="8" t="s">
        <v>64</v>
      </c>
      <c r="X464" t="s">
        <v>42</v>
      </c>
      <c r="Y464" s="8">
        <v>0</v>
      </c>
      <c r="Z464">
        <v>0</v>
      </c>
      <c r="AA464">
        <v>0</v>
      </c>
      <c r="AB464">
        <v>1</v>
      </c>
      <c r="AC464" s="5">
        <v>1999</v>
      </c>
      <c r="AD464" s="1">
        <v>2018</v>
      </c>
      <c r="AE464" s="6">
        <f t="shared" si="11"/>
        <v>19</v>
      </c>
      <c r="AF464">
        <v>4</v>
      </c>
      <c r="AG464" t="s">
        <v>64</v>
      </c>
      <c r="AH464" s="1" t="s">
        <v>64</v>
      </c>
    </row>
    <row r="465" spans="1:34" ht="15" customHeight="1">
      <c r="A465" t="s">
        <v>781</v>
      </c>
      <c r="B465" t="s">
        <v>782</v>
      </c>
      <c r="C465" s="1">
        <v>21</v>
      </c>
      <c r="D465" t="s">
        <v>38</v>
      </c>
      <c r="E465" t="s">
        <v>38</v>
      </c>
      <c r="F465" t="s">
        <v>123</v>
      </c>
      <c r="G465" t="s">
        <v>40</v>
      </c>
      <c r="H465" t="s">
        <v>91</v>
      </c>
      <c r="I465" t="s">
        <v>92</v>
      </c>
      <c r="J465" t="s">
        <v>42</v>
      </c>
      <c r="K465" t="s">
        <v>353</v>
      </c>
      <c r="L465" t="s">
        <v>42</v>
      </c>
      <c r="M465" s="1" t="s">
        <v>42</v>
      </c>
      <c r="N465" s="39" t="s">
        <v>786</v>
      </c>
      <c r="O465" t="s">
        <v>86</v>
      </c>
      <c r="P465" s="39" t="s">
        <v>806</v>
      </c>
      <c r="Q465" t="s">
        <v>42</v>
      </c>
      <c r="R465" t="s">
        <v>42</v>
      </c>
      <c r="S465" t="s">
        <v>42</v>
      </c>
      <c r="T465" t="s">
        <v>42</v>
      </c>
      <c r="U465" t="s">
        <v>42</v>
      </c>
      <c r="V465" t="s">
        <v>42</v>
      </c>
      <c r="W465" s="8" t="s">
        <v>64</v>
      </c>
      <c r="X465" t="s">
        <v>42</v>
      </c>
      <c r="Y465" s="8">
        <v>0</v>
      </c>
      <c r="Z465">
        <v>0</v>
      </c>
      <c r="AA465">
        <v>0</v>
      </c>
      <c r="AB465">
        <v>1</v>
      </c>
      <c r="AC465" s="5">
        <v>1999</v>
      </c>
      <c r="AD465" s="1">
        <v>2018</v>
      </c>
      <c r="AE465" s="6">
        <f t="shared" si="11"/>
        <v>19</v>
      </c>
      <c r="AF465">
        <v>4</v>
      </c>
      <c r="AG465" t="s">
        <v>64</v>
      </c>
      <c r="AH465" s="1" t="s">
        <v>64</v>
      </c>
    </row>
    <row r="466" spans="1:34" ht="15" customHeight="1">
      <c r="A466" t="s">
        <v>781</v>
      </c>
      <c r="B466" t="s">
        <v>782</v>
      </c>
      <c r="C466" s="1">
        <v>22</v>
      </c>
      <c r="D466" t="s">
        <v>38</v>
      </c>
      <c r="E466" t="s">
        <v>38</v>
      </c>
      <c r="F466" t="s">
        <v>123</v>
      </c>
      <c r="G466" t="s">
        <v>40</v>
      </c>
      <c r="H466" t="s">
        <v>91</v>
      </c>
      <c r="I466" t="s">
        <v>92</v>
      </c>
      <c r="J466" t="s">
        <v>42</v>
      </c>
      <c r="K466" t="s">
        <v>353</v>
      </c>
      <c r="L466" t="s">
        <v>42</v>
      </c>
      <c r="M466" s="1" t="s">
        <v>42</v>
      </c>
      <c r="N466" s="39" t="s">
        <v>786</v>
      </c>
      <c r="O466" t="s">
        <v>86</v>
      </c>
      <c r="P466" s="39" t="s">
        <v>807</v>
      </c>
      <c r="Q466" t="s">
        <v>42</v>
      </c>
      <c r="R466" t="s">
        <v>42</v>
      </c>
      <c r="S466" t="s">
        <v>88</v>
      </c>
      <c r="T466" t="s">
        <v>42</v>
      </c>
      <c r="U466" t="s">
        <v>42</v>
      </c>
      <c r="V466" t="s">
        <v>42</v>
      </c>
      <c r="W466" s="8" t="s">
        <v>64</v>
      </c>
      <c r="X466" t="s">
        <v>42</v>
      </c>
      <c r="Y466" s="8">
        <v>0</v>
      </c>
      <c r="Z466">
        <v>0</v>
      </c>
      <c r="AA466">
        <v>0</v>
      </c>
      <c r="AB466">
        <v>1</v>
      </c>
      <c r="AC466" s="5">
        <v>1999</v>
      </c>
      <c r="AD466" s="1">
        <v>2018</v>
      </c>
      <c r="AE466" s="6">
        <f t="shared" si="11"/>
        <v>19</v>
      </c>
      <c r="AF466">
        <v>4</v>
      </c>
      <c r="AG466" t="s">
        <v>64</v>
      </c>
      <c r="AH466" s="1" t="s">
        <v>64</v>
      </c>
    </row>
    <row r="467" spans="1:34" s="9" customFormat="1" ht="15" customHeight="1">
      <c r="A467" s="9" t="s">
        <v>781</v>
      </c>
      <c r="B467" s="9" t="s">
        <v>782</v>
      </c>
      <c r="C467" s="10">
        <v>23</v>
      </c>
      <c r="D467" s="9" t="s">
        <v>38</v>
      </c>
      <c r="E467" s="9" t="s">
        <v>38</v>
      </c>
      <c r="F467" s="9" t="s">
        <v>123</v>
      </c>
      <c r="G467" s="9" t="s">
        <v>40</v>
      </c>
      <c r="H467" s="9" t="s">
        <v>91</v>
      </c>
      <c r="I467" s="9" t="s">
        <v>92</v>
      </c>
      <c r="J467" s="9" t="s">
        <v>42</v>
      </c>
      <c r="K467" s="9" t="s">
        <v>353</v>
      </c>
      <c r="L467" s="9" t="s">
        <v>42</v>
      </c>
      <c r="M467" s="10" t="s">
        <v>42</v>
      </c>
      <c r="N467" s="40" t="s">
        <v>808</v>
      </c>
      <c r="O467" s="9" t="s">
        <v>86</v>
      </c>
      <c r="P467" s="40" t="s">
        <v>809</v>
      </c>
      <c r="Q467" s="9" t="s">
        <v>42</v>
      </c>
      <c r="R467" s="9" t="s">
        <v>42</v>
      </c>
      <c r="S467" s="9" t="s">
        <v>810</v>
      </c>
      <c r="T467" s="9" t="s">
        <v>42</v>
      </c>
      <c r="U467" s="9" t="s">
        <v>42</v>
      </c>
      <c r="V467" s="9" t="s">
        <v>42</v>
      </c>
      <c r="W467" s="11" t="s">
        <v>64</v>
      </c>
      <c r="X467" s="9" t="s">
        <v>42</v>
      </c>
      <c r="Y467" s="11">
        <v>0</v>
      </c>
      <c r="Z467" s="9">
        <v>0</v>
      </c>
      <c r="AA467" s="9">
        <v>0</v>
      </c>
      <c r="AB467" s="9">
        <v>1</v>
      </c>
      <c r="AC467" s="12">
        <v>1999</v>
      </c>
      <c r="AD467" s="10">
        <v>2018</v>
      </c>
      <c r="AE467" s="13">
        <f t="shared" si="11"/>
        <v>19</v>
      </c>
      <c r="AF467" s="9">
        <v>4</v>
      </c>
      <c r="AG467" s="9" t="s">
        <v>64</v>
      </c>
      <c r="AH467" s="10" t="s">
        <v>64</v>
      </c>
    </row>
    <row r="468" spans="1:34" ht="15" customHeight="1">
      <c r="A468" t="s">
        <v>811</v>
      </c>
      <c r="B468" t="s">
        <v>812</v>
      </c>
      <c r="C468" s="1">
        <v>1</v>
      </c>
      <c r="D468" t="s">
        <v>426</v>
      </c>
      <c r="E468" t="s">
        <v>426</v>
      </c>
      <c r="F468" t="s">
        <v>116</v>
      </c>
      <c r="G468" t="s">
        <v>184</v>
      </c>
      <c r="H468" t="s">
        <v>42</v>
      </c>
      <c r="I468" t="s">
        <v>42</v>
      </c>
      <c r="J468" t="s">
        <v>42</v>
      </c>
      <c r="K468" t="s">
        <v>353</v>
      </c>
      <c r="L468" t="s">
        <v>813</v>
      </c>
      <c r="M468" s="1" t="s">
        <v>814</v>
      </c>
      <c r="N468" s="39" t="s">
        <v>430</v>
      </c>
      <c r="O468" t="s">
        <v>187</v>
      </c>
      <c r="P468" s="39" t="s">
        <v>434</v>
      </c>
      <c r="Q468" t="s">
        <v>42</v>
      </c>
      <c r="R468" t="s">
        <v>42</v>
      </c>
      <c r="S468" t="s">
        <v>42</v>
      </c>
      <c r="T468" t="s">
        <v>815</v>
      </c>
      <c r="U468" t="s">
        <v>42</v>
      </c>
      <c r="V468" t="s">
        <v>42</v>
      </c>
      <c r="W468" s="8" t="s">
        <v>64</v>
      </c>
      <c r="X468" t="s">
        <v>42</v>
      </c>
      <c r="Y468" s="8" t="s">
        <v>659</v>
      </c>
      <c r="Z468">
        <v>0</v>
      </c>
      <c r="AA468" t="s">
        <v>659</v>
      </c>
      <c r="AB468">
        <v>0</v>
      </c>
      <c r="AC468" s="5">
        <v>2022</v>
      </c>
      <c r="AD468" s="1">
        <v>2022</v>
      </c>
      <c r="AE468" s="6" t="s">
        <v>72</v>
      </c>
      <c r="AF468">
        <v>1</v>
      </c>
      <c r="AG468" t="s">
        <v>64</v>
      </c>
      <c r="AH468" s="1" t="s">
        <v>64</v>
      </c>
    </row>
    <row r="469" spans="1:34" ht="15" customHeight="1">
      <c r="A469" t="s">
        <v>811</v>
      </c>
      <c r="B469" t="s">
        <v>812</v>
      </c>
      <c r="C469" s="1">
        <v>2</v>
      </c>
      <c r="D469" t="s">
        <v>426</v>
      </c>
      <c r="E469" t="s">
        <v>426</v>
      </c>
      <c r="F469" t="s">
        <v>116</v>
      </c>
      <c r="G469" t="s">
        <v>40</v>
      </c>
      <c r="H469" t="s">
        <v>42</v>
      </c>
      <c r="I469" t="s">
        <v>42</v>
      </c>
      <c r="J469" t="s">
        <v>42</v>
      </c>
      <c r="K469" t="s">
        <v>353</v>
      </c>
      <c r="L469" t="s">
        <v>813</v>
      </c>
      <c r="M469" s="1" t="s">
        <v>814</v>
      </c>
      <c r="N469" s="39" t="s">
        <v>430</v>
      </c>
      <c r="O469" t="s">
        <v>86</v>
      </c>
      <c r="P469" s="39" t="s">
        <v>434</v>
      </c>
      <c r="Q469" t="s">
        <v>42</v>
      </c>
      <c r="R469" t="s">
        <v>42</v>
      </c>
      <c r="S469" t="s">
        <v>816</v>
      </c>
      <c r="T469" t="s">
        <v>42</v>
      </c>
      <c r="U469" t="s">
        <v>817</v>
      </c>
      <c r="V469" t="s">
        <v>42</v>
      </c>
      <c r="W469" s="8" t="s">
        <v>64</v>
      </c>
      <c r="X469" t="s">
        <v>42</v>
      </c>
      <c r="Y469" s="8" t="s">
        <v>659</v>
      </c>
      <c r="Z469">
        <v>0</v>
      </c>
      <c r="AA469" t="s">
        <v>659</v>
      </c>
      <c r="AB469">
        <v>0</v>
      </c>
      <c r="AC469" s="5">
        <v>2022</v>
      </c>
      <c r="AD469" s="1">
        <v>2022</v>
      </c>
      <c r="AE469" s="6" t="s">
        <v>72</v>
      </c>
      <c r="AF469">
        <v>1</v>
      </c>
      <c r="AG469" t="s">
        <v>64</v>
      </c>
      <c r="AH469" s="1" t="s">
        <v>64</v>
      </c>
    </row>
    <row r="470" spans="1:34" s="9" customFormat="1" ht="15" customHeight="1">
      <c r="A470" s="9" t="s">
        <v>811</v>
      </c>
      <c r="B470" s="9" t="s">
        <v>812</v>
      </c>
      <c r="C470" s="10">
        <v>3</v>
      </c>
      <c r="D470" s="9" t="s">
        <v>426</v>
      </c>
      <c r="E470" s="9" t="s">
        <v>426</v>
      </c>
      <c r="F470" s="9" t="s">
        <v>116</v>
      </c>
      <c r="G470" s="9" t="s">
        <v>40</v>
      </c>
      <c r="H470" s="9" t="s">
        <v>42</v>
      </c>
      <c r="I470" s="9" t="s">
        <v>42</v>
      </c>
      <c r="J470" s="9" t="s">
        <v>42</v>
      </c>
      <c r="K470" s="9" t="s">
        <v>353</v>
      </c>
      <c r="L470" s="9" t="s">
        <v>813</v>
      </c>
      <c r="M470" s="10" t="s">
        <v>814</v>
      </c>
      <c r="N470" s="40" t="s">
        <v>430</v>
      </c>
      <c r="O470" s="9" t="s">
        <v>86</v>
      </c>
      <c r="P470" s="39" t="s">
        <v>434</v>
      </c>
      <c r="Q470" s="9" t="s">
        <v>42</v>
      </c>
      <c r="R470" s="9" t="s">
        <v>42</v>
      </c>
      <c r="S470" s="9" t="s">
        <v>818</v>
      </c>
      <c r="T470" s="9" t="s">
        <v>42</v>
      </c>
      <c r="U470" t="s">
        <v>817</v>
      </c>
      <c r="V470" s="9" t="s">
        <v>42</v>
      </c>
      <c r="W470" s="11" t="s">
        <v>64</v>
      </c>
      <c r="X470" s="9" t="s">
        <v>42</v>
      </c>
      <c r="Y470" s="11" t="s">
        <v>659</v>
      </c>
      <c r="Z470" s="9">
        <v>0</v>
      </c>
      <c r="AA470" s="9" t="s">
        <v>659</v>
      </c>
      <c r="AB470" s="9">
        <v>0</v>
      </c>
      <c r="AC470" s="12">
        <v>2022</v>
      </c>
      <c r="AD470" s="10">
        <v>2022</v>
      </c>
      <c r="AE470" s="13" t="s">
        <v>72</v>
      </c>
      <c r="AF470" s="9">
        <v>1</v>
      </c>
      <c r="AG470" s="9" t="s">
        <v>64</v>
      </c>
      <c r="AH470" s="10" t="s">
        <v>64</v>
      </c>
    </row>
    <row r="471" spans="1:34" ht="15" customHeight="1">
      <c r="A471" t="s">
        <v>819</v>
      </c>
      <c r="B471" t="s">
        <v>820</v>
      </c>
      <c r="C471" s="1">
        <v>1</v>
      </c>
      <c r="D471" t="s">
        <v>38</v>
      </c>
      <c r="E471" t="s">
        <v>38</v>
      </c>
      <c r="F471" t="s">
        <v>39</v>
      </c>
      <c r="G471" t="s">
        <v>40</v>
      </c>
      <c r="H471" t="s">
        <v>91</v>
      </c>
      <c r="I471" t="s">
        <v>92</v>
      </c>
      <c r="J471" t="s">
        <v>42</v>
      </c>
      <c r="K471" t="s">
        <v>42</v>
      </c>
      <c r="L471" t="s">
        <v>42</v>
      </c>
      <c r="M471" t="s">
        <v>42</v>
      </c>
      <c r="N471" s="39" t="s">
        <v>79</v>
      </c>
      <c r="O471" t="s">
        <v>44</v>
      </c>
      <c r="P471" s="39" t="s">
        <v>201</v>
      </c>
      <c r="Q471" t="s">
        <v>821</v>
      </c>
      <c r="R471" t="s">
        <v>42</v>
      </c>
      <c r="S471" t="s">
        <v>202</v>
      </c>
      <c r="T471" t="s">
        <v>822</v>
      </c>
      <c r="U471" t="s">
        <v>42</v>
      </c>
      <c r="V471" t="s">
        <v>42</v>
      </c>
      <c r="W471" s="8" t="s">
        <v>50</v>
      </c>
      <c r="X471" t="s">
        <v>823</v>
      </c>
      <c r="Y471" s="8">
        <v>1</v>
      </c>
      <c r="Z471">
        <v>1</v>
      </c>
      <c r="AA471">
        <v>0</v>
      </c>
      <c r="AB471">
        <v>0</v>
      </c>
      <c r="AC471" s="5">
        <v>2011</v>
      </c>
      <c r="AD471" s="1">
        <v>2011</v>
      </c>
      <c r="AE471" s="6" t="s">
        <v>72</v>
      </c>
      <c r="AF471">
        <v>1</v>
      </c>
      <c r="AG471" t="s">
        <v>64</v>
      </c>
      <c r="AH471" s="1" t="s">
        <v>64</v>
      </c>
    </row>
    <row r="472" spans="1:34" ht="15" customHeight="1">
      <c r="A472" t="s">
        <v>819</v>
      </c>
      <c r="B472" t="s">
        <v>820</v>
      </c>
      <c r="C472" s="1">
        <v>2</v>
      </c>
      <c r="D472" t="s">
        <v>38</v>
      </c>
      <c r="E472" t="s">
        <v>38</v>
      </c>
      <c r="F472" t="s">
        <v>39</v>
      </c>
      <c r="G472" t="s">
        <v>40</v>
      </c>
      <c r="H472" t="s">
        <v>91</v>
      </c>
      <c r="I472" t="s">
        <v>92</v>
      </c>
      <c r="J472" t="s">
        <v>42</v>
      </c>
      <c r="K472" t="s">
        <v>42</v>
      </c>
      <c r="L472" t="s">
        <v>42</v>
      </c>
      <c r="M472" t="s">
        <v>42</v>
      </c>
      <c r="N472" s="39" t="s">
        <v>186</v>
      </c>
      <c r="O472" t="s">
        <v>44</v>
      </c>
      <c r="P472" s="39" t="s">
        <v>186</v>
      </c>
      <c r="Q472" t="s">
        <v>821</v>
      </c>
      <c r="R472" t="s">
        <v>42</v>
      </c>
      <c r="S472" t="s">
        <v>42</v>
      </c>
      <c r="T472" t="s">
        <v>822</v>
      </c>
      <c r="U472" t="s">
        <v>42</v>
      </c>
      <c r="V472" t="s">
        <v>42</v>
      </c>
      <c r="W472" s="8" t="s">
        <v>50</v>
      </c>
      <c r="X472" t="s">
        <v>824</v>
      </c>
      <c r="Y472" s="8">
        <v>1</v>
      </c>
      <c r="Z472">
        <v>1</v>
      </c>
      <c r="AA472">
        <v>0</v>
      </c>
      <c r="AB472">
        <v>0</v>
      </c>
      <c r="AC472" s="5">
        <v>2011</v>
      </c>
      <c r="AD472" s="1">
        <v>2011</v>
      </c>
      <c r="AE472" s="6" t="s">
        <v>72</v>
      </c>
      <c r="AF472">
        <v>1</v>
      </c>
      <c r="AG472" t="s">
        <v>64</v>
      </c>
      <c r="AH472" s="1" t="s">
        <v>64</v>
      </c>
    </row>
    <row r="473" spans="1:34" s="9" customFormat="1" ht="15" customHeight="1">
      <c r="A473" s="9" t="s">
        <v>819</v>
      </c>
      <c r="B473" s="9" t="s">
        <v>820</v>
      </c>
      <c r="C473" s="10">
        <v>3</v>
      </c>
      <c r="D473" s="9" t="s">
        <v>38</v>
      </c>
      <c r="E473" s="9" t="s">
        <v>38</v>
      </c>
      <c r="F473" s="9" t="s">
        <v>39</v>
      </c>
      <c r="G473" s="9" t="s">
        <v>40</v>
      </c>
      <c r="H473" s="9" t="s">
        <v>91</v>
      </c>
      <c r="I473" s="9" t="s">
        <v>92</v>
      </c>
      <c r="J473" s="9" t="s">
        <v>42</v>
      </c>
      <c r="K473" s="9" t="s">
        <v>42</v>
      </c>
      <c r="L473" s="9" t="s">
        <v>42</v>
      </c>
      <c r="M473" s="9" t="s">
        <v>42</v>
      </c>
      <c r="N473" s="40" t="s">
        <v>132</v>
      </c>
      <c r="O473" s="9" t="s">
        <v>44</v>
      </c>
      <c r="P473" s="40" t="s">
        <v>132</v>
      </c>
      <c r="Q473" s="9" t="s">
        <v>825</v>
      </c>
      <c r="R473" s="9" t="s">
        <v>42</v>
      </c>
      <c r="S473" s="9" t="s">
        <v>826</v>
      </c>
      <c r="T473" s="9" t="s">
        <v>822</v>
      </c>
      <c r="U473" s="9" t="s">
        <v>42</v>
      </c>
      <c r="V473" s="9" t="s">
        <v>42</v>
      </c>
      <c r="W473" s="11" t="s">
        <v>50</v>
      </c>
      <c r="X473" s="9" t="s">
        <v>343</v>
      </c>
      <c r="Y473" s="11">
        <v>1</v>
      </c>
      <c r="Z473" s="9">
        <v>1</v>
      </c>
      <c r="AA473" s="9">
        <v>0</v>
      </c>
      <c r="AB473" s="9">
        <v>0</v>
      </c>
      <c r="AC473" s="12">
        <v>2011</v>
      </c>
      <c r="AD473" s="10">
        <v>2011</v>
      </c>
      <c r="AE473" s="13" t="s">
        <v>72</v>
      </c>
      <c r="AF473" s="9">
        <v>1</v>
      </c>
      <c r="AG473" s="9" t="s">
        <v>64</v>
      </c>
      <c r="AH473" s="10" t="s">
        <v>64</v>
      </c>
    </row>
    <row r="474" spans="1:34" ht="15" customHeight="1">
      <c r="A474" t="s">
        <v>827</v>
      </c>
      <c r="B474" t="s">
        <v>828</v>
      </c>
      <c r="C474" s="24">
        <v>1</v>
      </c>
      <c r="D474" t="s">
        <v>38</v>
      </c>
      <c r="E474" t="s">
        <v>38</v>
      </c>
      <c r="F474" t="s">
        <v>39</v>
      </c>
      <c r="G474" t="s">
        <v>40</v>
      </c>
      <c r="H474" t="s">
        <v>91</v>
      </c>
      <c r="I474" t="s">
        <v>92</v>
      </c>
      <c r="J474" t="s">
        <v>42</v>
      </c>
      <c r="K474" t="s">
        <v>42</v>
      </c>
      <c r="L474" t="s">
        <v>42</v>
      </c>
      <c r="M474" t="s">
        <v>42</v>
      </c>
      <c r="N474" s="39" t="s">
        <v>99</v>
      </c>
      <c r="O474" t="s">
        <v>86</v>
      </c>
      <c r="P474" s="39" t="s">
        <v>766</v>
      </c>
      <c r="Q474" t="s">
        <v>254</v>
      </c>
      <c r="R474" t="s">
        <v>255</v>
      </c>
      <c r="S474" t="s">
        <v>101</v>
      </c>
      <c r="T474" t="s">
        <v>42</v>
      </c>
      <c r="U474" t="s">
        <v>42</v>
      </c>
      <c r="V474" t="s">
        <v>42</v>
      </c>
      <c r="W474" s="8" t="s">
        <v>64</v>
      </c>
      <c r="X474" t="s">
        <v>42</v>
      </c>
      <c r="Y474" s="8">
        <v>1</v>
      </c>
      <c r="Z474">
        <v>0</v>
      </c>
      <c r="AA474">
        <v>0</v>
      </c>
      <c r="AB474">
        <v>0</v>
      </c>
      <c r="AC474" s="5">
        <v>2001</v>
      </c>
      <c r="AD474" s="1">
        <v>2009</v>
      </c>
      <c r="AE474" s="6">
        <v>8</v>
      </c>
      <c r="AF474">
        <v>4</v>
      </c>
      <c r="AG474" t="s">
        <v>64</v>
      </c>
      <c r="AH474" s="1" t="s">
        <v>64</v>
      </c>
    </row>
    <row r="475" spans="1:34" ht="15" customHeight="1">
      <c r="A475" t="s">
        <v>827</v>
      </c>
      <c r="B475" t="s">
        <v>828</v>
      </c>
      <c r="C475" s="24">
        <v>1</v>
      </c>
      <c r="D475" t="s">
        <v>38</v>
      </c>
      <c r="E475" t="s">
        <v>38</v>
      </c>
      <c r="F475" t="s">
        <v>39</v>
      </c>
      <c r="G475" t="s">
        <v>40</v>
      </c>
      <c r="H475" t="s">
        <v>91</v>
      </c>
      <c r="I475" t="s">
        <v>92</v>
      </c>
      <c r="J475" t="s">
        <v>42</v>
      </c>
      <c r="K475" t="s">
        <v>42</v>
      </c>
      <c r="L475" t="s">
        <v>42</v>
      </c>
      <c r="M475" t="s">
        <v>42</v>
      </c>
      <c r="N475" s="39" t="s">
        <v>132</v>
      </c>
      <c r="O475" t="s">
        <v>86</v>
      </c>
      <c r="P475" s="39" t="s">
        <v>366</v>
      </c>
      <c r="Q475" t="s">
        <v>254</v>
      </c>
      <c r="R475" t="s">
        <v>255</v>
      </c>
      <c r="S475" t="s">
        <v>367</v>
      </c>
      <c r="T475" t="s">
        <v>42</v>
      </c>
      <c r="U475" t="s">
        <v>42</v>
      </c>
      <c r="V475" t="s">
        <v>42</v>
      </c>
      <c r="W475" s="8" t="s">
        <v>64</v>
      </c>
      <c r="X475" t="s">
        <v>42</v>
      </c>
      <c r="Y475" s="8">
        <v>1</v>
      </c>
      <c r="Z475">
        <v>0</v>
      </c>
      <c r="AA475">
        <v>0</v>
      </c>
      <c r="AB475">
        <v>0</v>
      </c>
      <c r="AC475" s="5">
        <v>2001</v>
      </c>
      <c r="AD475" s="1">
        <v>2009</v>
      </c>
      <c r="AE475" s="6">
        <v>8</v>
      </c>
      <c r="AF475">
        <v>4</v>
      </c>
      <c r="AG475" t="s">
        <v>64</v>
      </c>
      <c r="AH475" s="1" t="s">
        <v>64</v>
      </c>
    </row>
    <row r="476" spans="1:34" ht="15" customHeight="1">
      <c r="A476" t="s">
        <v>827</v>
      </c>
      <c r="B476" t="s">
        <v>828</v>
      </c>
      <c r="C476" s="24">
        <v>1</v>
      </c>
      <c r="D476" t="s">
        <v>38</v>
      </c>
      <c r="E476" t="s">
        <v>38</v>
      </c>
      <c r="F476" t="s">
        <v>39</v>
      </c>
      <c r="G476" t="s">
        <v>40</v>
      </c>
      <c r="H476" t="s">
        <v>91</v>
      </c>
      <c r="I476" t="s">
        <v>92</v>
      </c>
      <c r="J476" t="s">
        <v>42</v>
      </c>
      <c r="K476" t="s">
        <v>42</v>
      </c>
      <c r="L476" t="s">
        <v>42</v>
      </c>
      <c r="M476" t="s">
        <v>42</v>
      </c>
      <c r="N476" s="39" t="s">
        <v>43</v>
      </c>
      <c r="O476" t="s">
        <v>86</v>
      </c>
      <c r="P476" s="39" t="s">
        <v>368</v>
      </c>
      <c r="Q476" t="s">
        <v>254</v>
      </c>
      <c r="R476" t="s">
        <v>255</v>
      </c>
      <c r="S476" t="s">
        <v>160</v>
      </c>
      <c r="T476" t="s">
        <v>42</v>
      </c>
      <c r="U476" t="s">
        <v>42</v>
      </c>
      <c r="V476" t="s">
        <v>42</v>
      </c>
      <c r="W476" s="8" t="s">
        <v>64</v>
      </c>
      <c r="X476" t="s">
        <v>42</v>
      </c>
      <c r="Y476" s="8">
        <v>1</v>
      </c>
      <c r="Z476">
        <v>0</v>
      </c>
      <c r="AA476">
        <v>0</v>
      </c>
      <c r="AB476">
        <v>0</v>
      </c>
      <c r="AC476" s="5">
        <v>2001</v>
      </c>
      <c r="AD476" s="1">
        <v>2009</v>
      </c>
      <c r="AE476" s="6">
        <v>8</v>
      </c>
      <c r="AF476">
        <v>4</v>
      </c>
      <c r="AG476" t="s">
        <v>64</v>
      </c>
      <c r="AH476" s="1" t="s">
        <v>64</v>
      </c>
    </row>
    <row r="477" spans="1:34" ht="15" customHeight="1">
      <c r="A477" t="s">
        <v>827</v>
      </c>
      <c r="B477" t="s">
        <v>828</v>
      </c>
      <c r="C477" s="24">
        <v>1</v>
      </c>
      <c r="D477" t="s">
        <v>38</v>
      </c>
      <c r="E477" t="s">
        <v>38</v>
      </c>
      <c r="F477" t="s">
        <v>39</v>
      </c>
      <c r="G477" t="s">
        <v>40</v>
      </c>
      <c r="H477" t="s">
        <v>91</v>
      </c>
      <c r="I477" t="s">
        <v>92</v>
      </c>
      <c r="J477" t="s">
        <v>42</v>
      </c>
      <c r="K477" t="s">
        <v>42</v>
      </c>
      <c r="L477" t="s">
        <v>42</v>
      </c>
      <c r="M477" t="s">
        <v>42</v>
      </c>
      <c r="N477" s="39" t="s">
        <v>52</v>
      </c>
      <c r="O477" t="s">
        <v>86</v>
      </c>
      <c r="P477" s="39" t="s">
        <v>52</v>
      </c>
      <c r="Q477" t="s">
        <v>254</v>
      </c>
      <c r="R477" t="s">
        <v>255</v>
      </c>
      <c r="S477" t="s">
        <v>69</v>
      </c>
      <c r="T477" t="s">
        <v>829</v>
      </c>
      <c r="U477" t="s">
        <v>42</v>
      </c>
      <c r="V477" t="s">
        <v>42</v>
      </c>
      <c r="W477" s="8" t="s">
        <v>64</v>
      </c>
      <c r="X477" t="s">
        <v>42</v>
      </c>
      <c r="Y477" s="8">
        <v>1</v>
      </c>
      <c r="Z477">
        <v>0</v>
      </c>
      <c r="AA477">
        <v>0</v>
      </c>
      <c r="AB477">
        <v>0</v>
      </c>
      <c r="AC477" s="5">
        <v>2001</v>
      </c>
      <c r="AD477" s="1">
        <v>2009</v>
      </c>
      <c r="AE477" s="6">
        <v>8</v>
      </c>
      <c r="AF477">
        <v>4</v>
      </c>
      <c r="AG477" t="s">
        <v>64</v>
      </c>
      <c r="AH477" s="1" t="s">
        <v>64</v>
      </c>
    </row>
    <row r="478" spans="1:34" s="9" customFormat="1" ht="15" customHeight="1">
      <c r="A478" s="9" t="s">
        <v>827</v>
      </c>
      <c r="B478" s="9" t="s">
        <v>828</v>
      </c>
      <c r="C478" s="25">
        <v>1</v>
      </c>
      <c r="D478" s="9" t="s">
        <v>38</v>
      </c>
      <c r="E478" s="9" t="s">
        <v>38</v>
      </c>
      <c r="F478" s="9" t="s">
        <v>39</v>
      </c>
      <c r="G478" s="9" t="s">
        <v>40</v>
      </c>
      <c r="H478" s="9" t="s">
        <v>91</v>
      </c>
      <c r="I478" s="9" t="s">
        <v>92</v>
      </c>
      <c r="J478" s="9" t="s">
        <v>251</v>
      </c>
      <c r="K478" s="9" t="s">
        <v>42</v>
      </c>
      <c r="L478" s="9" t="s">
        <v>42</v>
      </c>
      <c r="M478" s="9" t="s">
        <v>42</v>
      </c>
      <c r="N478" s="40" t="s">
        <v>43</v>
      </c>
      <c r="O478" s="9" t="s">
        <v>86</v>
      </c>
      <c r="P478" s="40" t="s">
        <v>247</v>
      </c>
      <c r="Q478" s="9" t="s">
        <v>254</v>
      </c>
      <c r="R478" s="9" t="s">
        <v>255</v>
      </c>
      <c r="S478" s="9" t="s">
        <v>136</v>
      </c>
      <c r="T478" s="9" t="s">
        <v>830</v>
      </c>
      <c r="U478" s="9" t="s">
        <v>42</v>
      </c>
      <c r="V478" s="9" t="s">
        <v>42</v>
      </c>
      <c r="W478" s="11" t="s">
        <v>64</v>
      </c>
      <c r="X478" s="9" t="s">
        <v>42</v>
      </c>
      <c r="Y478" s="11">
        <v>1</v>
      </c>
      <c r="Z478" s="9">
        <v>0</v>
      </c>
      <c r="AA478" s="9">
        <v>0</v>
      </c>
      <c r="AB478" s="9">
        <v>0</v>
      </c>
      <c r="AC478" s="12">
        <v>2001</v>
      </c>
      <c r="AD478" s="10">
        <v>2009</v>
      </c>
      <c r="AE478" s="13">
        <v>8</v>
      </c>
      <c r="AF478" s="9">
        <v>4</v>
      </c>
      <c r="AG478" s="9" t="s">
        <v>64</v>
      </c>
      <c r="AH478" s="10" t="s">
        <v>64</v>
      </c>
    </row>
    <row r="479" spans="1:34" ht="15" customHeight="1">
      <c r="A479" t="s">
        <v>831</v>
      </c>
      <c r="B479" t="s">
        <v>832</v>
      </c>
      <c r="C479" s="1">
        <v>1</v>
      </c>
      <c r="D479" t="s">
        <v>38</v>
      </c>
      <c r="E479" t="s">
        <v>38</v>
      </c>
      <c r="F479" t="s">
        <v>39</v>
      </c>
      <c r="G479" t="s">
        <v>40</v>
      </c>
      <c r="H479" t="s">
        <v>833</v>
      </c>
      <c r="I479" t="s">
        <v>42</v>
      </c>
      <c r="J479" t="s">
        <v>42</v>
      </c>
      <c r="K479" t="s">
        <v>42</v>
      </c>
      <c r="L479" t="s">
        <v>42</v>
      </c>
      <c r="M479" t="s">
        <v>42</v>
      </c>
      <c r="N479" s="39" t="s">
        <v>722</v>
      </c>
      <c r="O479" t="s">
        <v>86</v>
      </c>
      <c r="P479" s="39" t="s">
        <v>834</v>
      </c>
      <c r="Q479" t="s">
        <v>42</v>
      </c>
      <c r="R479" t="s">
        <v>42</v>
      </c>
      <c r="S479" t="s">
        <v>835</v>
      </c>
      <c r="T479" t="s">
        <v>42</v>
      </c>
      <c r="U479" t="s">
        <v>42</v>
      </c>
      <c r="V479" t="s">
        <v>42</v>
      </c>
      <c r="W479" s="8" t="s">
        <v>64</v>
      </c>
      <c r="X479" t="s">
        <v>42</v>
      </c>
      <c r="Y479" s="8">
        <v>1</v>
      </c>
      <c r="Z479">
        <v>0</v>
      </c>
      <c r="AA479">
        <v>0</v>
      </c>
      <c r="AB479">
        <v>0</v>
      </c>
      <c r="AC479" s="5">
        <v>2014</v>
      </c>
      <c r="AD479" s="1">
        <v>2018</v>
      </c>
      <c r="AE479" s="6">
        <v>5</v>
      </c>
      <c r="AF479">
        <v>5</v>
      </c>
      <c r="AG479" t="s">
        <v>64</v>
      </c>
      <c r="AH479" s="1" t="s">
        <v>64</v>
      </c>
    </row>
    <row r="480" spans="1:34" s="9" customFormat="1" ht="15" customHeight="1">
      <c r="A480" s="9" t="s">
        <v>831</v>
      </c>
      <c r="B480" s="9" t="s">
        <v>832</v>
      </c>
      <c r="C480" s="10">
        <v>2</v>
      </c>
      <c r="D480" s="9" t="s">
        <v>38</v>
      </c>
      <c r="E480" s="9" t="s">
        <v>38</v>
      </c>
      <c r="F480" s="9" t="s">
        <v>39</v>
      </c>
      <c r="G480" s="9" t="s">
        <v>40</v>
      </c>
      <c r="H480" s="9" t="s">
        <v>833</v>
      </c>
      <c r="I480" s="9" t="s">
        <v>42</v>
      </c>
      <c r="J480" s="9" t="s">
        <v>42</v>
      </c>
      <c r="K480" s="9" t="s">
        <v>42</v>
      </c>
      <c r="L480" s="9" t="s">
        <v>42</v>
      </c>
      <c r="M480" s="9" t="s">
        <v>42</v>
      </c>
      <c r="N480" s="40" t="s">
        <v>722</v>
      </c>
      <c r="O480" s="9" t="s">
        <v>86</v>
      </c>
      <c r="P480" s="40" t="s">
        <v>836</v>
      </c>
      <c r="Q480" s="9" t="s">
        <v>42</v>
      </c>
      <c r="R480" s="9" t="s">
        <v>42</v>
      </c>
      <c r="S480" s="9" t="s">
        <v>835</v>
      </c>
      <c r="T480" s="9" t="s">
        <v>42</v>
      </c>
      <c r="U480" s="9" t="s">
        <v>42</v>
      </c>
      <c r="V480" s="9" t="s">
        <v>42</v>
      </c>
      <c r="W480" s="11" t="s">
        <v>64</v>
      </c>
      <c r="X480" s="9" t="s">
        <v>42</v>
      </c>
      <c r="Y480" s="11">
        <v>1</v>
      </c>
      <c r="Z480" s="9">
        <v>0</v>
      </c>
      <c r="AA480" s="9">
        <v>0</v>
      </c>
      <c r="AB480" s="9">
        <v>0</v>
      </c>
      <c r="AC480" s="12">
        <v>2014</v>
      </c>
      <c r="AD480" s="10">
        <v>2018</v>
      </c>
      <c r="AE480" s="13">
        <v>5</v>
      </c>
      <c r="AF480" s="9">
        <v>5</v>
      </c>
      <c r="AG480" s="9" t="s">
        <v>64</v>
      </c>
      <c r="AH480" s="10" t="s">
        <v>64</v>
      </c>
    </row>
    <row r="481" spans="1:34" ht="15" customHeight="1">
      <c r="A481" t="s">
        <v>837</v>
      </c>
      <c r="B481" t="s">
        <v>838</v>
      </c>
      <c r="C481" s="24">
        <v>1</v>
      </c>
      <c r="D481" t="s">
        <v>502</v>
      </c>
      <c r="E481" t="s">
        <v>426</v>
      </c>
      <c r="F481" t="s">
        <v>39</v>
      </c>
      <c r="G481" t="s">
        <v>40</v>
      </c>
      <c r="H481" t="s">
        <v>428</v>
      </c>
      <c r="I481" t="s">
        <v>42</v>
      </c>
      <c r="J481" t="s">
        <v>42</v>
      </c>
      <c r="K481" t="s">
        <v>42</v>
      </c>
      <c r="L481" t="s">
        <v>42</v>
      </c>
      <c r="M481" t="s">
        <v>42</v>
      </c>
      <c r="N481" s="39" t="s">
        <v>430</v>
      </c>
      <c r="O481" t="s">
        <v>86</v>
      </c>
      <c r="P481" s="39" t="s">
        <v>456</v>
      </c>
      <c r="Q481" t="s">
        <v>42</v>
      </c>
      <c r="R481" t="s">
        <v>42</v>
      </c>
      <c r="S481" t="s">
        <v>839</v>
      </c>
      <c r="T481" t="s">
        <v>42</v>
      </c>
      <c r="U481" t="s">
        <v>840</v>
      </c>
      <c r="V481" t="s">
        <v>42</v>
      </c>
      <c r="W481" s="8" t="s">
        <v>64</v>
      </c>
      <c r="X481" t="s">
        <v>42</v>
      </c>
      <c r="Y481" s="8">
        <v>0</v>
      </c>
      <c r="Z481">
        <v>0</v>
      </c>
      <c r="AA481">
        <v>12</v>
      </c>
      <c r="AB481">
        <v>0</v>
      </c>
      <c r="AC481" s="5">
        <v>2018</v>
      </c>
      <c r="AD481" s="5">
        <v>2018</v>
      </c>
      <c r="AE481" s="6" t="s">
        <v>72</v>
      </c>
      <c r="AF481">
        <v>1</v>
      </c>
      <c r="AG481" t="s">
        <v>64</v>
      </c>
      <c r="AH481" s="1" t="s">
        <v>64</v>
      </c>
    </row>
    <row r="482" spans="1:34" ht="15" customHeight="1">
      <c r="A482" t="s">
        <v>837</v>
      </c>
      <c r="B482" t="s">
        <v>838</v>
      </c>
      <c r="C482" s="24">
        <v>2</v>
      </c>
      <c r="D482" t="s">
        <v>502</v>
      </c>
      <c r="E482" t="s">
        <v>426</v>
      </c>
      <c r="F482" t="s">
        <v>39</v>
      </c>
      <c r="G482" t="s">
        <v>40</v>
      </c>
      <c r="H482" t="s">
        <v>428</v>
      </c>
      <c r="I482" t="s">
        <v>42</v>
      </c>
      <c r="J482" t="s">
        <v>42</v>
      </c>
      <c r="K482" t="s">
        <v>42</v>
      </c>
      <c r="L482" t="s">
        <v>42</v>
      </c>
      <c r="M482" t="s">
        <v>42</v>
      </c>
      <c r="N482" s="39" t="s">
        <v>430</v>
      </c>
      <c r="O482" t="s">
        <v>86</v>
      </c>
      <c r="P482" s="39" t="s">
        <v>434</v>
      </c>
      <c r="Q482" t="s">
        <v>42</v>
      </c>
      <c r="R482" t="s">
        <v>42</v>
      </c>
      <c r="S482" t="s">
        <v>839</v>
      </c>
      <c r="T482" t="s">
        <v>42</v>
      </c>
      <c r="U482" t="s">
        <v>840</v>
      </c>
      <c r="V482" t="s">
        <v>42</v>
      </c>
      <c r="W482" s="8" t="s">
        <v>64</v>
      </c>
      <c r="X482" t="s">
        <v>42</v>
      </c>
      <c r="Y482" s="8">
        <v>0</v>
      </c>
      <c r="Z482">
        <v>0</v>
      </c>
      <c r="AA482">
        <v>12</v>
      </c>
      <c r="AB482">
        <v>0</v>
      </c>
      <c r="AC482" s="5">
        <v>2018</v>
      </c>
      <c r="AD482" s="5">
        <v>2018</v>
      </c>
      <c r="AE482" s="6" t="s">
        <v>72</v>
      </c>
      <c r="AF482">
        <v>1</v>
      </c>
      <c r="AG482" t="s">
        <v>64</v>
      </c>
      <c r="AH482" s="1" t="s">
        <v>64</v>
      </c>
    </row>
    <row r="483" spans="1:34" ht="15" customHeight="1">
      <c r="A483" t="s">
        <v>837</v>
      </c>
      <c r="B483" t="s">
        <v>838</v>
      </c>
      <c r="C483" s="24">
        <v>3</v>
      </c>
      <c r="D483" t="s">
        <v>502</v>
      </c>
      <c r="E483" t="s">
        <v>426</v>
      </c>
      <c r="F483" t="s">
        <v>39</v>
      </c>
      <c r="G483" t="s">
        <v>40</v>
      </c>
      <c r="H483" t="s">
        <v>428</v>
      </c>
      <c r="I483" t="s">
        <v>42</v>
      </c>
      <c r="J483" t="s">
        <v>42</v>
      </c>
      <c r="K483" t="s">
        <v>42</v>
      </c>
      <c r="L483" t="s">
        <v>42</v>
      </c>
      <c r="M483" t="s">
        <v>42</v>
      </c>
      <c r="N483" s="39" t="s">
        <v>430</v>
      </c>
      <c r="O483" t="s">
        <v>86</v>
      </c>
      <c r="P483" s="39" t="s">
        <v>431</v>
      </c>
      <c r="Q483" t="s">
        <v>42</v>
      </c>
      <c r="R483" t="s">
        <v>42</v>
      </c>
      <c r="S483" t="s">
        <v>839</v>
      </c>
      <c r="T483" t="s">
        <v>42</v>
      </c>
      <c r="U483" t="s">
        <v>840</v>
      </c>
      <c r="V483" t="s">
        <v>42</v>
      </c>
      <c r="W483" s="8" t="s">
        <v>64</v>
      </c>
      <c r="X483" t="s">
        <v>42</v>
      </c>
      <c r="Y483" s="8">
        <v>0</v>
      </c>
      <c r="Z483">
        <v>0</v>
      </c>
      <c r="AA483">
        <v>12</v>
      </c>
      <c r="AB483">
        <v>0</v>
      </c>
      <c r="AC483" s="5">
        <v>2018</v>
      </c>
      <c r="AD483" s="5">
        <v>2018</v>
      </c>
      <c r="AE483" s="6" t="s">
        <v>72</v>
      </c>
      <c r="AF483">
        <v>1</v>
      </c>
      <c r="AG483" t="s">
        <v>64</v>
      </c>
      <c r="AH483" s="1" t="s">
        <v>64</v>
      </c>
    </row>
    <row r="484" spans="1:34" s="9" customFormat="1" ht="15" customHeight="1">
      <c r="A484" s="9" t="s">
        <v>837</v>
      </c>
      <c r="B484" s="9" t="s">
        <v>838</v>
      </c>
      <c r="C484" s="25">
        <v>4</v>
      </c>
      <c r="D484" s="9" t="s">
        <v>502</v>
      </c>
      <c r="E484" s="9" t="s">
        <v>397</v>
      </c>
      <c r="F484" s="9" t="s">
        <v>39</v>
      </c>
      <c r="G484" s="9" t="s">
        <v>40</v>
      </c>
      <c r="H484" s="9" t="s">
        <v>428</v>
      </c>
      <c r="I484" s="9" t="s">
        <v>841</v>
      </c>
      <c r="J484" s="9" t="s">
        <v>42</v>
      </c>
      <c r="K484" s="9" t="s">
        <v>42</v>
      </c>
      <c r="L484" s="9" t="s">
        <v>42</v>
      </c>
      <c r="M484" s="9" t="s">
        <v>42</v>
      </c>
      <c r="N484" s="40" t="s">
        <v>430</v>
      </c>
      <c r="O484" s="9" t="s">
        <v>86</v>
      </c>
      <c r="P484" s="40" t="s">
        <v>436</v>
      </c>
      <c r="Q484" s="9" t="s">
        <v>42</v>
      </c>
      <c r="R484" s="9" t="s">
        <v>42</v>
      </c>
      <c r="S484" s="9" t="s">
        <v>42</v>
      </c>
      <c r="T484" s="9" t="s">
        <v>42</v>
      </c>
      <c r="U484" s="9" t="s">
        <v>840</v>
      </c>
      <c r="V484" s="9" t="s">
        <v>841</v>
      </c>
      <c r="W484" s="11" t="s">
        <v>64</v>
      </c>
      <c r="X484" s="9" t="s">
        <v>42</v>
      </c>
      <c r="Y484" s="11">
        <v>0</v>
      </c>
      <c r="Z484" s="9">
        <v>0</v>
      </c>
      <c r="AA484" s="9">
        <v>12</v>
      </c>
      <c r="AB484" s="9">
        <v>0</v>
      </c>
      <c r="AC484" s="12">
        <v>2018</v>
      </c>
      <c r="AD484" s="12">
        <v>2018</v>
      </c>
      <c r="AE484" s="13" t="s">
        <v>72</v>
      </c>
      <c r="AF484" s="9">
        <v>1</v>
      </c>
      <c r="AG484" s="9" t="s">
        <v>64</v>
      </c>
      <c r="AH484" s="10" t="s">
        <v>64</v>
      </c>
    </row>
    <row r="485" spans="1:34" s="9" customFormat="1" ht="15" customHeight="1">
      <c r="A485" s="9" t="s">
        <v>842</v>
      </c>
      <c r="B485" s="9" t="s">
        <v>843</v>
      </c>
      <c r="C485" s="10">
        <v>1</v>
      </c>
      <c r="D485" s="9" t="s">
        <v>38</v>
      </c>
      <c r="E485" s="9" t="s">
        <v>38</v>
      </c>
      <c r="F485" s="9" t="s">
        <v>39</v>
      </c>
      <c r="G485" s="9" t="s">
        <v>40</v>
      </c>
      <c r="H485" s="9" t="s">
        <v>185</v>
      </c>
      <c r="I485" s="9" t="s">
        <v>42</v>
      </c>
      <c r="J485" s="9" t="s">
        <v>42</v>
      </c>
      <c r="K485" s="9" t="s">
        <v>42</v>
      </c>
      <c r="L485" s="9" t="s">
        <v>42</v>
      </c>
      <c r="M485" s="10" t="s">
        <v>42</v>
      </c>
      <c r="N485" s="40" t="s">
        <v>132</v>
      </c>
      <c r="O485" s="9" t="s">
        <v>44</v>
      </c>
      <c r="P485" s="40" t="s">
        <v>132</v>
      </c>
      <c r="Q485" s="9" t="s">
        <v>844</v>
      </c>
      <c r="R485" s="9" t="s">
        <v>42</v>
      </c>
      <c r="S485" s="9" t="s">
        <v>845</v>
      </c>
      <c r="T485" s="9" t="s">
        <v>846</v>
      </c>
      <c r="U485" s="9" t="s">
        <v>42</v>
      </c>
      <c r="V485" s="9" t="s">
        <v>42</v>
      </c>
      <c r="W485" s="11" t="s">
        <v>50</v>
      </c>
      <c r="X485" s="9" t="s">
        <v>85</v>
      </c>
      <c r="Y485" s="11">
        <v>1</v>
      </c>
      <c r="Z485" s="9">
        <v>0</v>
      </c>
      <c r="AA485" s="9">
        <v>0</v>
      </c>
      <c r="AB485" s="9">
        <v>0</v>
      </c>
      <c r="AC485" s="12">
        <v>1997</v>
      </c>
      <c r="AD485" s="10">
        <v>1999</v>
      </c>
      <c r="AE485" s="13">
        <v>2</v>
      </c>
      <c r="AF485" s="9">
        <v>4</v>
      </c>
      <c r="AG485" s="9" t="s">
        <v>64</v>
      </c>
      <c r="AH485" s="10" t="s">
        <v>64</v>
      </c>
    </row>
    <row r="486" spans="1:34" ht="15" customHeight="1">
      <c r="A486" t="s">
        <v>847</v>
      </c>
      <c r="B486" t="s">
        <v>848</v>
      </c>
      <c r="C486" s="24">
        <v>1</v>
      </c>
      <c r="D486" t="s">
        <v>502</v>
      </c>
      <c r="E486" t="s">
        <v>426</v>
      </c>
      <c r="F486" t="s">
        <v>39</v>
      </c>
      <c r="G486" t="s">
        <v>40</v>
      </c>
      <c r="H486" t="s">
        <v>428</v>
      </c>
      <c r="I486" t="s">
        <v>42</v>
      </c>
      <c r="J486" t="s">
        <v>42</v>
      </c>
      <c r="K486" t="s">
        <v>42</v>
      </c>
      <c r="L486" t="s">
        <v>42</v>
      </c>
      <c r="M486" t="s">
        <v>42</v>
      </c>
      <c r="N486" s="39" t="s">
        <v>430</v>
      </c>
      <c r="O486" t="s">
        <v>86</v>
      </c>
      <c r="P486" s="39" t="s">
        <v>456</v>
      </c>
      <c r="Q486" t="s">
        <v>42</v>
      </c>
      <c r="R486" t="s">
        <v>42</v>
      </c>
      <c r="S486" t="s">
        <v>839</v>
      </c>
      <c r="T486" t="s">
        <v>42</v>
      </c>
      <c r="U486" t="s">
        <v>849</v>
      </c>
      <c r="V486" t="s">
        <v>42</v>
      </c>
      <c r="W486" s="8" t="s">
        <v>64</v>
      </c>
      <c r="X486" t="s">
        <v>42</v>
      </c>
      <c r="Y486" s="8">
        <v>0</v>
      </c>
      <c r="Z486">
        <v>0</v>
      </c>
      <c r="AA486" t="s">
        <v>659</v>
      </c>
      <c r="AB486">
        <v>0</v>
      </c>
      <c r="AC486" s="5">
        <v>2023</v>
      </c>
      <c r="AD486" s="1">
        <v>2023</v>
      </c>
      <c r="AE486" s="6" t="s">
        <v>72</v>
      </c>
      <c r="AF486">
        <v>1</v>
      </c>
      <c r="AG486" t="s">
        <v>64</v>
      </c>
      <c r="AH486" s="1" t="s">
        <v>64</v>
      </c>
    </row>
    <row r="487" spans="1:34" ht="15" customHeight="1">
      <c r="A487" t="s">
        <v>847</v>
      </c>
      <c r="B487" t="s">
        <v>848</v>
      </c>
      <c r="C487" s="24">
        <v>2</v>
      </c>
      <c r="D487" t="s">
        <v>502</v>
      </c>
      <c r="E487" t="s">
        <v>426</v>
      </c>
      <c r="F487" t="s">
        <v>39</v>
      </c>
      <c r="G487" t="s">
        <v>40</v>
      </c>
      <c r="H487" t="s">
        <v>428</v>
      </c>
      <c r="I487" t="s">
        <v>42</v>
      </c>
      <c r="J487" t="s">
        <v>42</v>
      </c>
      <c r="K487" t="s">
        <v>42</v>
      </c>
      <c r="L487" t="s">
        <v>42</v>
      </c>
      <c r="M487" t="s">
        <v>42</v>
      </c>
      <c r="N487" s="39" t="s">
        <v>430</v>
      </c>
      <c r="O487" t="s">
        <v>86</v>
      </c>
      <c r="P487" s="39" t="s">
        <v>434</v>
      </c>
      <c r="Q487" t="s">
        <v>42</v>
      </c>
      <c r="R487" t="s">
        <v>42</v>
      </c>
      <c r="S487" t="s">
        <v>839</v>
      </c>
      <c r="T487" t="s">
        <v>42</v>
      </c>
      <c r="U487" t="s">
        <v>849</v>
      </c>
      <c r="V487" t="s">
        <v>42</v>
      </c>
      <c r="W487" s="8" t="s">
        <v>64</v>
      </c>
      <c r="X487" t="s">
        <v>42</v>
      </c>
      <c r="Y487" s="8">
        <v>0</v>
      </c>
      <c r="Z487">
        <v>0</v>
      </c>
      <c r="AA487" t="s">
        <v>659</v>
      </c>
      <c r="AB487">
        <v>0</v>
      </c>
      <c r="AC487" s="5">
        <v>2023</v>
      </c>
      <c r="AD487" s="1">
        <v>2023</v>
      </c>
      <c r="AE487" s="6" t="s">
        <v>72</v>
      </c>
      <c r="AF487">
        <v>1</v>
      </c>
      <c r="AG487" t="s">
        <v>64</v>
      </c>
      <c r="AH487" s="1" t="s">
        <v>64</v>
      </c>
    </row>
    <row r="488" spans="1:34" ht="15" customHeight="1">
      <c r="A488" t="s">
        <v>847</v>
      </c>
      <c r="B488" t="s">
        <v>848</v>
      </c>
      <c r="C488" s="24">
        <v>3</v>
      </c>
      <c r="D488" t="s">
        <v>502</v>
      </c>
      <c r="E488" t="s">
        <v>426</v>
      </c>
      <c r="F488" t="s">
        <v>39</v>
      </c>
      <c r="G488" t="s">
        <v>40</v>
      </c>
      <c r="H488" t="s">
        <v>428</v>
      </c>
      <c r="I488" t="s">
        <v>42</v>
      </c>
      <c r="J488" t="s">
        <v>42</v>
      </c>
      <c r="K488" t="s">
        <v>42</v>
      </c>
      <c r="L488" t="s">
        <v>42</v>
      </c>
      <c r="M488" t="s">
        <v>42</v>
      </c>
      <c r="N488" s="39" t="s">
        <v>430</v>
      </c>
      <c r="O488" t="s">
        <v>86</v>
      </c>
      <c r="P488" s="39" t="s">
        <v>431</v>
      </c>
      <c r="Q488" t="s">
        <v>42</v>
      </c>
      <c r="R488" t="s">
        <v>42</v>
      </c>
      <c r="S488" t="s">
        <v>839</v>
      </c>
      <c r="T488" t="s">
        <v>42</v>
      </c>
      <c r="U488" t="s">
        <v>849</v>
      </c>
      <c r="V488" t="s">
        <v>42</v>
      </c>
      <c r="W488" s="8" t="s">
        <v>64</v>
      </c>
      <c r="X488" t="s">
        <v>42</v>
      </c>
      <c r="Y488" s="8">
        <v>0</v>
      </c>
      <c r="Z488">
        <v>0</v>
      </c>
      <c r="AA488" t="s">
        <v>659</v>
      </c>
      <c r="AB488">
        <v>0</v>
      </c>
      <c r="AC488" s="5">
        <v>2023</v>
      </c>
      <c r="AD488" s="1">
        <v>2023</v>
      </c>
      <c r="AE488" s="6" t="s">
        <v>72</v>
      </c>
      <c r="AF488">
        <v>1</v>
      </c>
      <c r="AG488" t="s">
        <v>64</v>
      </c>
      <c r="AH488" s="1" t="s">
        <v>64</v>
      </c>
    </row>
    <row r="489" spans="1:34" s="9" customFormat="1" ht="15" customHeight="1">
      <c r="A489" s="9" t="s">
        <v>847</v>
      </c>
      <c r="B489" s="9" t="s">
        <v>848</v>
      </c>
      <c r="C489" s="25">
        <v>4</v>
      </c>
      <c r="D489" s="9" t="s">
        <v>502</v>
      </c>
      <c r="E489" s="9" t="s">
        <v>397</v>
      </c>
      <c r="F489" s="9" t="s">
        <v>39</v>
      </c>
      <c r="G489" s="9" t="s">
        <v>40</v>
      </c>
      <c r="H489" s="9" t="s">
        <v>428</v>
      </c>
      <c r="I489" s="9" t="s">
        <v>841</v>
      </c>
      <c r="J489" s="9" t="s">
        <v>42</v>
      </c>
      <c r="K489" s="9" t="s">
        <v>42</v>
      </c>
      <c r="L489" s="9" t="s">
        <v>42</v>
      </c>
      <c r="M489" s="9" t="s">
        <v>42</v>
      </c>
      <c r="N489" s="40" t="s">
        <v>430</v>
      </c>
      <c r="O489" s="9" t="s">
        <v>86</v>
      </c>
      <c r="P489" s="40" t="s">
        <v>436</v>
      </c>
      <c r="Q489" s="9" t="s">
        <v>42</v>
      </c>
      <c r="R489" s="9" t="s">
        <v>42</v>
      </c>
      <c r="S489" s="9" t="s">
        <v>42</v>
      </c>
      <c r="T489" s="9" t="s">
        <v>42</v>
      </c>
      <c r="U489" s="9" t="s">
        <v>849</v>
      </c>
      <c r="V489" s="9" t="s">
        <v>841</v>
      </c>
      <c r="W489" s="11" t="s">
        <v>64</v>
      </c>
      <c r="X489" s="9" t="s">
        <v>42</v>
      </c>
      <c r="Y489" s="11">
        <v>0</v>
      </c>
      <c r="Z489" s="9">
        <v>0</v>
      </c>
      <c r="AA489" s="9" t="s">
        <v>659</v>
      </c>
      <c r="AB489" s="9">
        <v>0</v>
      </c>
      <c r="AC489" s="12">
        <v>2023</v>
      </c>
      <c r="AD489" s="10">
        <v>2023</v>
      </c>
      <c r="AE489" s="13" t="s">
        <v>72</v>
      </c>
      <c r="AF489" s="9">
        <v>1</v>
      </c>
      <c r="AG489" s="9" t="s">
        <v>64</v>
      </c>
      <c r="AH489" s="10" t="s">
        <v>64</v>
      </c>
    </row>
    <row r="490" spans="1:34" ht="15" customHeight="1">
      <c r="A490" t="s">
        <v>850</v>
      </c>
      <c r="B490" t="s">
        <v>851</v>
      </c>
      <c r="C490" s="24">
        <v>1</v>
      </c>
      <c r="D490" t="s">
        <v>426</v>
      </c>
      <c r="E490" t="s">
        <v>426</v>
      </c>
      <c r="F490" t="s">
        <v>39</v>
      </c>
      <c r="G490" t="s">
        <v>40</v>
      </c>
      <c r="H490" t="s">
        <v>428</v>
      </c>
      <c r="I490" t="s">
        <v>852</v>
      </c>
      <c r="J490" t="s">
        <v>42</v>
      </c>
      <c r="K490" t="s">
        <v>42</v>
      </c>
      <c r="L490" t="s">
        <v>42</v>
      </c>
      <c r="M490" t="s">
        <v>42</v>
      </c>
      <c r="N490" s="39" t="s">
        <v>430</v>
      </c>
      <c r="O490" t="s">
        <v>44</v>
      </c>
      <c r="P490" s="39" t="s">
        <v>456</v>
      </c>
      <c r="Q490" t="s">
        <v>42</v>
      </c>
      <c r="R490" t="s">
        <v>42</v>
      </c>
      <c r="S490" t="s">
        <v>853</v>
      </c>
      <c r="T490" t="s">
        <v>42</v>
      </c>
      <c r="U490" t="s">
        <v>854</v>
      </c>
      <c r="V490" t="s">
        <v>42</v>
      </c>
      <c r="W490" s="8" t="s">
        <v>50</v>
      </c>
      <c r="X490" t="s">
        <v>855</v>
      </c>
      <c r="Y490" s="8">
        <v>0</v>
      </c>
      <c r="Z490">
        <v>0</v>
      </c>
      <c r="AA490">
        <v>17</v>
      </c>
      <c r="AB490">
        <v>0</v>
      </c>
      <c r="AC490" s="5">
        <v>2015</v>
      </c>
      <c r="AD490" s="1">
        <v>2015</v>
      </c>
      <c r="AE490" s="6" t="s">
        <v>72</v>
      </c>
      <c r="AF490">
        <v>1</v>
      </c>
      <c r="AG490" t="s">
        <v>64</v>
      </c>
      <c r="AH490" s="1" t="s">
        <v>64</v>
      </c>
    </row>
    <row r="491" spans="1:34" ht="15" customHeight="1">
      <c r="A491" t="s">
        <v>850</v>
      </c>
      <c r="B491" t="s">
        <v>851</v>
      </c>
      <c r="C491" s="24">
        <v>1</v>
      </c>
      <c r="D491" t="s">
        <v>426</v>
      </c>
      <c r="E491" t="s">
        <v>426</v>
      </c>
      <c r="F491" t="s">
        <v>39</v>
      </c>
      <c r="G491" t="s">
        <v>40</v>
      </c>
      <c r="H491" t="s">
        <v>428</v>
      </c>
      <c r="I491" t="s">
        <v>852</v>
      </c>
      <c r="J491" t="s">
        <v>42</v>
      </c>
      <c r="K491" t="s">
        <v>42</v>
      </c>
      <c r="L491" t="s">
        <v>42</v>
      </c>
      <c r="M491" t="s">
        <v>42</v>
      </c>
      <c r="N491" s="39" t="s">
        <v>430</v>
      </c>
      <c r="O491" t="s">
        <v>44</v>
      </c>
      <c r="P491" s="39" t="s">
        <v>431</v>
      </c>
      <c r="Q491" t="s">
        <v>42</v>
      </c>
      <c r="R491" t="s">
        <v>42</v>
      </c>
      <c r="S491" t="s">
        <v>853</v>
      </c>
      <c r="T491" t="s">
        <v>42</v>
      </c>
      <c r="U491" t="s">
        <v>854</v>
      </c>
      <c r="V491" t="s">
        <v>42</v>
      </c>
      <c r="W491" s="8" t="s">
        <v>50</v>
      </c>
      <c r="X491" t="s">
        <v>855</v>
      </c>
      <c r="Y491" s="8">
        <v>0</v>
      </c>
      <c r="Z491">
        <v>0</v>
      </c>
      <c r="AA491">
        <v>17</v>
      </c>
      <c r="AB491">
        <v>0</v>
      </c>
      <c r="AC491" s="5">
        <v>2015</v>
      </c>
      <c r="AD491" s="1">
        <v>2015</v>
      </c>
      <c r="AE491" s="6" t="s">
        <v>72</v>
      </c>
      <c r="AF491">
        <v>1</v>
      </c>
      <c r="AG491" t="s">
        <v>64</v>
      </c>
      <c r="AH491" s="1" t="s">
        <v>64</v>
      </c>
    </row>
    <row r="492" spans="1:34" ht="15" customHeight="1">
      <c r="A492" t="s">
        <v>850</v>
      </c>
      <c r="B492" t="s">
        <v>851</v>
      </c>
      <c r="C492" s="24">
        <v>1</v>
      </c>
      <c r="D492" t="s">
        <v>426</v>
      </c>
      <c r="E492" t="s">
        <v>426</v>
      </c>
      <c r="F492" t="s">
        <v>39</v>
      </c>
      <c r="G492" t="s">
        <v>40</v>
      </c>
      <c r="H492" t="s">
        <v>428</v>
      </c>
      <c r="I492" t="s">
        <v>852</v>
      </c>
      <c r="J492" t="s">
        <v>42</v>
      </c>
      <c r="K492" t="s">
        <v>42</v>
      </c>
      <c r="L492" t="s">
        <v>42</v>
      </c>
      <c r="M492" t="s">
        <v>42</v>
      </c>
      <c r="N492" s="39" t="s">
        <v>430</v>
      </c>
      <c r="O492" t="s">
        <v>44</v>
      </c>
      <c r="P492" s="39" t="s">
        <v>434</v>
      </c>
      <c r="Q492" t="s">
        <v>42</v>
      </c>
      <c r="R492" t="s">
        <v>42</v>
      </c>
      <c r="S492" t="s">
        <v>853</v>
      </c>
      <c r="T492" t="s">
        <v>42</v>
      </c>
      <c r="U492" t="s">
        <v>854</v>
      </c>
      <c r="V492" t="s">
        <v>42</v>
      </c>
      <c r="W492" s="8" t="s">
        <v>50</v>
      </c>
      <c r="X492" t="s">
        <v>855</v>
      </c>
      <c r="Y492" s="8">
        <v>0</v>
      </c>
      <c r="Z492">
        <v>0</v>
      </c>
      <c r="AA492">
        <v>17</v>
      </c>
      <c r="AB492">
        <v>0</v>
      </c>
      <c r="AC492" s="5">
        <v>2015</v>
      </c>
      <c r="AD492" s="1">
        <v>2015</v>
      </c>
      <c r="AE492" s="6" t="s">
        <v>72</v>
      </c>
      <c r="AF492">
        <v>1</v>
      </c>
      <c r="AG492" t="s">
        <v>64</v>
      </c>
      <c r="AH492" s="1" t="s">
        <v>64</v>
      </c>
    </row>
    <row r="493" spans="1:34" s="9" customFormat="1" ht="15" customHeight="1">
      <c r="A493" s="9" t="s">
        <v>850</v>
      </c>
      <c r="B493" s="9" t="s">
        <v>851</v>
      </c>
      <c r="C493" s="25">
        <v>1</v>
      </c>
      <c r="D493" s="9" t="s">
        <v>426</v>
      </c>
      <c r="E493" s="9" t="s">
        <v>426</v>
      </c>
      <c r="F493" s="9" t="s">
        <v>39</v>
      </c>
      <c r="G493" s="9" t="s">
        <v>40</v>
      </c>
      <c r="H493" s="9" t="s">
        <v>428</v>
      </c>
      <c r="I493" s="9" t="s">
        <v>852</v>
      </c>
      <c r="J493" s="9" t="s">
        <v>42</v>
      </c>
      <c r="K493" s="9" t="s">
        <v>42</v>
      </c>
      <c r="L493" s="9" t="s">
        <v>42</v>
      </c>
      <c r="M493" s="9" t="s">
        <v>42</v>
      </c>
      <c r="N493" s="40" t="s">
        <v>430</v>
      </c>
      <c r="O493" s="9" t="s">
        <v>44</v>
      </c>
      <c r="P493" s="40" t="s">
        <v>493</v>
      </c>
      <c r="Q493" s="9" t="s">
        <v>42</v>
      </c>
      <c r="R493" s="9" t="s">
        <v>42</v>
      </c>
      <c r="S493" s="9" t="s">
        <v>853</v>
      </c>
      <c r="T493" s="9" t="s">
        <v>42</v>
      </c>
      <c r="U493" s="9" t="s">
        <v>854</v>
      </c>
      <c r="V493" s="9" t="s">
        <v>42</v>
      </c>
      <c r="W493" s="11" t="s">
        <v>50</v>
      </c>
      <c r="X493" s="9" t="s">
        <v>855</v>
      </c>
      <c r="Y493" s="11">
        <v>0</v>
      </c>
      <c r="Z493" s="9">
        <v>0</v>
      </c>
      <c r="AA493" s="9">
        <v>17</v>
      </c>
      <c r="AB493" s="9">
        <v>0</v>
      </c>
      <c r="AC493" s="12">
        <v>2015</v>
      </c>
      <c r="AD493" s="10">
        <v>2015</v>
      </c>
      <c r="AE493" s="13" t="s">
        <v>72</v>
      </c>
      <c r="AF493" s="9">
        <v>1</v>
      </c>
      <c r="AG493" s="9" t="s">
        <v>64</v>
      </c>
      <c r="AH493" s="10" t="s">
        <v>64</v>
      </c>
    </row>
    <row r="494" spans="1:34" ht="15" customHeight="1">
      <c r="A494" t="s">
        <v>856</v>
      </c>
      <c r="B494" t="s">
        <v>857</v>
      </c>
      <c r="C494" s="1">
        <v>1</v>
      </c>
      <c r="D494" t="s">
        <v>426</v>
      </c>
      <c r="E494" t="s">
        <v>426</v>
      </c>
      <c r="F494" t="s">
        <v>39</v>
      </c>
      <c r="G494" t="s">
        <v>184</v>
      </c>
      <c r="H494" t="s">
        <v>858</v>
      </c>
      <c r="I494" t="s">
        <v>427</v>
      </c>
      <c r="J494" t="s">
        <v>42</v>
      </c>
      <c r="K494" t="s">
        <v>42</v>
      </c>
      <c r="L494" t="s">
        <v>42</v>
      </c>
      <c r="M494" s="1" t="s">
        <v>42</v>
      </c>
      <c r="N494" s="39" t="s">
        <v>430</v>
      </c>
      <c r="O494" t="s">
        <v>187</v>
      </c>
      <c r="P494" s="39" t="s">
        <v>431</v>
      </c>
      <c r="Q494" t="s">
        <v>42</v>
      </c>
      <c r="R494" t="s">
        <v>42</v>
      </c>
      <c r="S494" t="s">
        <v>42</v>
      </c>
      <c r="T494" t="s">
        <v>42</v>
      </c>
      <c r="U494" t="s">
        <v>859</v>
      </c>
      <c r="V494" t="s">
        <v>490</v>
      </c>
      <c r="W494" s="8" t="s">
        <v>64</v>
      </c>
      <c r="X494" t="s">
        <v>42</v>
      </c>
      <c r="Y494" s="8">
        <v>0</v>
      </c>
      <c r="Z494">
        <v>0</v>
      </c>
      <c r="AA494">
        <v>2</v>
      </c>
      <c r="AB494">
        <v>0</v>
      </c>
      <c r="AC494" s="5">
        <v>2016</v>
      </c>
      <c r="AD494" s="1">
        <v>2018</v>
      </c>
      <c r="AE494" s="6">
        <v>2</v>
      </c>
      <c r="AF494">
        <v>1</v>
      </c>
      <c r="AG494" t="s">
        <v>64</v>
      </c>
      <c r="AH494" s="1" t="s">
        <v>64</v>
      </c>
    </row>
    <row r="495" spans="1:34" ht="15" customHeight="1">
      <c r="A495" t="s">
        <v>856</v>
      </c>
      <c r="B495" t="s">
        <v>857</v>
      </c>
      <c r="C495" s="1">
        <v>2</v>
      </c>
      <c r="D495" t="s">
        <v>426</v>
      </c>
      <c r="E495" t="s">
        <v>426</v>
      </c>
      <c r="F495" t="s">
        <v>39</v>
      </c>
      <c r="G495" t="s">
        <v>184</v>
      </c>
      <c r="H495" t="s">
        <v>858</v>
      </c>
      <c r="I495" t="s">
        <v>427</v>
      </c>
      <c r="J495" t="s">
        <v>42</v>
      </c>
      <c r="K495" t="s">
        <v>42</v>
      </c>
      <c r="L495" t="s">
        <v>42</v>
      </c>
      <c r="M495" s="1" t="s">
        <v>42</v>
      </c>
      <c r="N495" s="39" t="s">
        <v>430</v>
      </c>
      <c r="O495" t="s">
        <v>187</v>
      </c>
      <c r="P495" s="39" t="s">
        <v>860</v>
      </c>
      <c r="Q495" t="s">
        <v>42</v>
      </c>
      <c r="R495" t="s">
        <v>42</v>
      </c>
      <c r="S495" t="s">
        <v>42</v>
      </c>
      <c r="T495" t="s">
        <v>42</v>
      </c>
      <c r="U495" t="s">
        <v>859</v>
      </c>
      <c r="V495" t="s">
        <v>490</v>
      </c>
      <c r="W495" s="8" t="s">
        <v>64</v>
      </c>
      <c r="X495" t="s">
        <v>42</v>
      </c>
      <c r="Y495" s="8">
        <v>0</v>
      </c>
      <c r="Z495">
        <v>0</v>
      </c>
      <c r="AA495">
        <v>2</v>
      </c>
      <c r="AB495">
        <v>0</v>
      </c>
      <c r="AC495" s="5">
        <v>2016</v>
      </c>
      <c r="AD495" s="1">
        <v>2018</v>
      </c>
      <c r="AE495" s="6">
        <v>2</v>
      </c>
      <c r="AF495">
        <v>1</v>
      </c>
      <c r="AG495" t="s">
        <v>64</v>
      </c>
      <c r="AH495" s="1" t="s">
        <v>64</v>
      </c>
    </row>
    <row r="496" spans="1:34" ht="15" customHeight="1">
      <c r="A496" t="s">
        <v>856</v>
      </c>
      <c r="B496" t="s">
        <v>857</v>
      </c>
      <c r="C496" s="1">
        <v>3</v>
      </c>
      <c r="D496" t="s">
        <v>426</v>
      </c>
      <c r="E496" t="s">
        <v>426</v>
      </c>
      <c r="F496" t="s">
        <v>39</v>
      </c>
      <c r="G496" t="s">
        <v>184</v>
      </c>
      <c r="H496" t="s">
        <v>858</v>
      </c>
      <c r="I496" t="s">
        <v>427</v>
      </c>
      <c r="J496" t="s">
        <v>42</v>
      </c>
      <c r="K496" t="s">
        <v>42</v>
      </c>
      <c r="L496" t="s">
        <v>42</v>
      </c>
      <c r="M496" s="1" t="s">
        <v>42</v>
      </c>
      <c r="N496" s="39" t="s">
        <v>430</v>
      </c>
      <c r="O496" t="s">
        <v>187</v>
      </c>
      <c r="P496" s="39" t="s">
        <v>456</v>
      </c>
      <c r="Q496" t="s">
        <v>42</v>
      </c>
      <c r="R496" t="s">
        <v>42</v>
      </c>
      <c r="S496" t="s">
        <v>42</v>
      </c>
      <c r="T496" t="s">
        <v>42</v>
      </c>
      <c r="U496" t="s">
        <v>859</v>
      </c>
      <c r="V496" t="s">
        <v>490</v>
      </c>
      <c r="W496" s="8" t="s">
        <v>64</v>
      </c>
      <c r="X496" t="s">
        <v>42</v>
      </c>
      <c r="Y496" s="8">
        <v>0</v>
      </c>
      <c r="Z496">
        <v>0</v>
      </c>
      <c r="AA496">
        <v>2</v>
      </c>
      <c r="AB496">
        <v>0</v>
      </c>
      <c r="AC496" s="5">
        <v>2016</v>
      </c>
      <c r="AD496" s="1">
        <v>2018</v>
      </c>
      <c r="AE496" s="6">
        <v>2</v>
      </c>
      <c r="AF496">
        <v>1</v>
      </c>
      <c r="AG496" t="s">
        <v>64</v>
      </c>
      <c r="AH496" s="1" t="s">
        <v>64</v>
      </c>
    </row>
    <row r="497" spans="1:34" ht="15" customHeight="1">
      <c r="A497" t="s">
        <v>856</v>
      </c>
      <c r="B497" t="s">
        <v>857</v>
      </c>
      <c r="C497" s="1">
        <v>4</v>
      </c>
      <c r="D497" t="s">
        <v>426</v>
      </c>
      <c r="E497" t="s">
        <v>426</v>
      </c>
      <c r="F497" t="s">
        <v>39</v>
      </c>
      <c r="G497" t="s">
        <v>184</v>
      </c>
      <c r="H497" t="s">
        <v>858</v>
      </c>
      <c r="I497" t="s">
        <v>427</v>
      </c>
      <c r="J497" t="s">
        <v>42</v>
      </c>
      <c r="K497" t="s">
        <v>42</v>
      </c>
      <c r="L497" t="s">
        <v>42</v>
      </c>
      <c r="M497" s="1" t="s">
        <v>42</v>
      </c>
      <c r="N497" s="39" t="s">
        <v>430</v>
      </c>
      <c r="O497" t="s">
        <v>187</v>
      </c>
      <c r="P497" s="39" t="s">
        <v>434</v>
      </c>
      <c r="Q497" t="s">
        <v>42</v>
      </c>
      <c r="R497" t="s">
        <v>42</v>
      </c>
      <c r="S497" t="s">
        <v>42</v>
      </c>
      <c r="T497" t="s">
        <v>42</v>
      </c>
      <c r="U497" t="s">
        <v>859</v>
      </c>
      <c r="V497" t="s">
        <v>490</v>
      </c>
      <c r="W497" s="8" t="s">
        <v>64</v>
      </c>
      <c r="X497" t="s">
        <v>42</v>
      </c>
      <c r="Y497" s="8">
        <v>0</v>
      </c>
      <c r="Z497">
        <v>0</v>
      </c>
      <c r="AA497">
        <v>2</v>
      </c>
      <c r="AB497">
        <v>0</v>
      </c>
      <c r="AC497" s="5">
        <v>2016</v>
      </c>
      <c r="AD497" s="1">
        <v>2018</v>
      </c>
      <c r="AE497" s="6">
        <v>2</v>
      </c>
      <c r="AF497">
        <v>1</v>
      </c>
      <c r="AG497" t="s">
        <v>64</v>
      </c>
      <c r="AH497" s="1" t="s">
        <v>64</v>
      </c>
    </row>
    <row r="498" spans="1:34" s="9" customFormat="1" ht="15" customHeight="1">
      <c r="A498" s="9" t="s">
        <v>856</v>
      </c>
      <c r="B498" s="9" t="s">
        <v>857</v>
      </c>
      <c r="C498" s="10">
        <v>5</v>
      </c>
      <c r="D498" s="9" t="s">
        <v>426</v>
      </c>
      <c r="E498" s="9" t="s">
        <v>426</v>
      </c>
      <c r="F498" s="9" t="s">
        <v>39</v>
      </c>
      <c r="G498" s="9" t="s">
        <v>184</v>
      </c>
      <c r="H498" s="9" t="s">
        <v>858</v>
      </c>
      <c r="I498" s="9" t="s">
        <v>427</v>
      </c>
      <c r="J498" s="9" t="s">
        <v>42</v>
      </c>
      <c r="K498" s="9" t="s">
        <v>42</v>
      </c>
      <c r="L498" s="9" t="s">
        <v>42</v>
      </c>
      <c r="M498" s="10" t="s">
        <v>42</v>
      </c>
      <c r="N498" s="40" t="s">
        <v>430</v>
      </c>
      <c r="O498" s="9" t="s">
        <v>187</v>
      </c>
      <c r="P498" s="40" t="s">
        <v>493</v>
      </c>
      <c r="Q498" s="9" t="s">
        <v>42</v>
      </c>
      <c r="R498" s="9" t="s">
        <v>42</v>
      </c>
      <c r="S498" s="9" t="s">
        <v>42</v>
      </c>
      <c r="T498" s="9" t="s">
        <v>42</v>
      </c>
      <c r="U498" s="9" t="s">
        <v>859</v>
      </c>
      <c r="V498" s="9" t="s">
        <v>490</v>
      </c>
      <c r="W498" s="11" t="s">
        <v>64</v>
      </c>
      <c r="X498" s="9" t="s">
        <v>42</v>
      </c>
      <c r="Y498" s="11">
        <v>0</v>
      </c>
      <c r="Z498" s="9">
        <v>0</v>
      </c>
      <c r="AA498" s="9">
        <v>2</v>
      </c>
      <c r="AB498" s="9">
        <v>0</v>
      </c>
      <c r="AC498" s="12">
        <v>2016</v>
      </c>
      <c r="AD498" s="10">
        <v>2018</v>
      </c>
      <c r="AE498" s="13">
        <v>2</v>
      </c>
      <c r="AF498" s="9">
        <v>1</v>
      </c>
      <c r="AG498" s="9" t="s">
        <v>64</v>
      </c>
      <c r="AH498" s="10" t="s">
        <v>64</v>
      </c>
    </row>
    <row r="499" spans="1:34" ht="15" customHeight="1">
      <c r="A499" t="s">
        <v>861</v>
      </c>
      <c r="B499" t="s">
        <v>862</v>
      </c>
      <c r="C499" s="1">
        <v>1</v>
      </c>
      <c r="D499" t="s">
        <v>426</v>
      </c>
      <c r="E499" t="s">
        <v>426</v>
      </c>
      <c r="F499" t="s">
        <v>123</v>
      </c>
      <c r="G499" t="s">
        <v>40</v>
      </c>
      <c r="H499" t="s">
        <v>428</v>
      </c>
      <c r="I499" t="s">
        <v>42</v>
      </c>
      <c r="J499" t="s">
        <v>42</v>
      </c>
      <c r="K499" t="s">
        <v>863</v>
      </c>
      <c r="L499" t="s">
        <v>42</v>
      </c>
      <c r="M499" s="1" t="s">
        <v>42</v>
      </c>
      <c r="N499" s="39" t="s">
        <v>463</v>
      </c>
      <c r="O499" t="s">
        <v>86</v>
      </c>
      <c r="P499" s="39" t="s">
        <v>431</v>
      </c>
      <c r="Q499" t="s">
        <v>42</v>
      </c>
      <c r="R499" t="s">
        <v>42</v>
      </c>
      <c r="S499" t="s">
        <v>42</v>
      </c>
      <c r="T499" t="s">
        <v>42</v>
      </c>
      <c r="U499" t="s">
        <v>864</v>
      </c>
      <c r="V499" t="s">
        <v>865</v>
      </c>
      <c r="W499" s="8" t="s">
        <v>50</v>
      </c>
      <c r="X499" t="s">
        <v>316</v>
      </c>
      <c r="Y499" s="8" t="s">
        <v>659</v>
      </c>
      <c r="Z499" s="8" t="s">
        <v>659</v>
      </c>
      <c r="AA499" s="8" t="s">
        <v>659</v>
      </c>
      <c r="AB499" s="8" t="s">
        <v>659</v>
      </c>
      <c r="AC499" s="5">
        <v>2011</v>
      </c>
      <c r="AD499" s="1">
        <v>2012</v>
      </c>
      <c r="AE499" s="6">
        <v>1</v>
      </c>
      <c r="AF499">
        <v>1</v>
      </c>
      <c r="AG499" t="s">
        <v>64</v>
      </c>
      <c r="AH499" s="1" t="s">
        <v>64</v>
      </c>
    </row>
    <row r="500" spans="1:34" s="9" customFormat="1" ht="15" customHeight="1">
      <c r="A500" s="9" t="s">
        <v>861</v>
      </c>
      <c r="B500" s="9" t="s">
        <v>862</v>
      </c>
      <c r="C500" s="10">
        <v>2</v>
      </c>
      <c r="D500" s="9" t="s">
        <v>426</v>
      </c>
      <c r="E500" s="9" t="s">
        <v>426</v>
      </c>
      <c r="F500" s="9" t="s">
        <v>123</v>
      </c>
      <c r="G500" s="9" t="s">
        <v>40</v>
      </c>
      <c r="H500" s="9" t="s">
        <v>428</v>
      </c>
      <c r="I500" s="9" t="s">
        <v>42</v>
      </c>
      <c r="J500" s="9" t="s">
        <v>42</v>
      </c>
      <c r="K500" s="9" t="s">
        <v>863</v>
      </c>
      <c r="L500" s="9" t="s">
        <v>42</v>
      </c>
      <c r="M500" s="10" t="s">
        <v>42</v>
      </c>
      <c r="N500" s="40" t="s">
        <v>463</v>
      </c>
      <c r="O500" s="9" t="s">
        <v>86</v>
      </c>
      <c r="P500" s="40" t="s">
        <v>436</v>
      </c>
      <c r="Q500" s="9" t="s">
        <v>42</v>
      </c>
      <c r="R500" s="9" t="s">
        <v>42</v>
      </c>
      <c r="S500" s="9" t="s">
        <v>42</v>
      </c>
      <c r="T500" s="9" t="s">
        <v>42</v>
      </c>
      <c r="U500" s="9" t="s">
        <v>864</v>
      </c>
      <c r="V500" s="9" t="s">
        <v>865</v>
      </c>
      <c r="W500" s="11" t="s">
        <v>50</v>
      </c>
      <c r="X500" s="9" t="s">
        <v>316</v>
      </c>
      <c r="Y500" s="8" t="s">
        <v>659</v>
      </c>
      <c r="Z500" s="8" t="s">
        <v>659</v>
      </c>
      <c r="AA500" s="8" t="s">
        <v>659</v>
      </c>
      <c r="AB500" s="8" t="s">
        <v>659</v>
      </c>
      <c r="AC500" s="12">
        <v>2011</v>
      </c>
      <c r="AD500" s="10">
        <v>2012</v>
      </c>
      <c r="AE500" s="13">
        <v>1</v>
      </c>
      <c r="AF500" s="9">
        <v>1</v>
      </c>
      <c r="AG500" s="9" t="s">
        <v>64</v>
      </c>
      <c r="AH500" s="10" t="s">
        <v>64</v>
      </c>
    </row>
    <row r="501" spans="1:34" ht="15" customHeight="1">
      <c r="A501" t="s">
        <v>866</v>
      </c>
      <c r="B501" t="s">
        <v>867</v>
      </c>
      <c r="C501" s="24">
        <v>1</v>
      </c>
      <c r="D501" t="s">
        <v>38</v>
      </c>
      <c r="E501" t="s">
        <v>38</v>
      </c>
      <c r="F501" t="s">
        <v>39</v>
      </c>
      <c r="G501" t="s">
        <v>40</v>
      </c>
      <c r="H501" t="s">
        <v>868</v>
      </c>
      <c r="I501" t="s">
        <v>92</v>
      </c>
      <c r="J501" t="s">
        <v>42</v>
      </c>
      <c r="K501" t="s">
        <v>42</v>
      </c>
      <c r="L501" t="s">
        <v>42</v>
      </c>
      <c r="M501" s="1" t="s">
        <v>42</v>
      </c>
      <c r="N501" s="39" t="s">
        <v>786</v>
      </c>
      <c r="O501" t="s">
        <v>44</v>
      </c>
      <c r="P501" s="39" t="s">
        <v>869</v>
      </c>
      <c r="Q501" t="s">
        <v>670</v>
      </c>
      <c r="R501" t="s">
        <v>870</v>
      </c>
      <c r="S501" t="s">
        <v>871</v>
      </c>
      <c r="T501" t="s">
        <v>872</v>
      </c>
      <c r="U501" t="s">
        <v>42</v>
      </c>
      <c r="V501" t="s">
        <v>42</v>
      </c>
      <c r="W501" s="8" t="s">
        <v>50</v>
      </c>
      <c r="X501" t="s">
        <v>85</v>
      </c>
      <c r="Y501" s="8">
        <v>1</v>
      </c>
      <c r="Z501">
        <v>0</v>
      </c>
      <c r="AA501">
        <v>0</v>
      </c>
      <c r="AB501">
        <v>0</v>
      </c>
      <c r="AC501">
        <v>2011</v>
      </c>
      <c r="AD501" s="1">
        <v>2012</v>
      </c>
      <c r="AE501" s="6">
        <v>1</v>
      </c>
      <c r="AF501">
        <v>8</v>
      </c>
      <c r="AG501" t="s">
        <v>64</v>
      </c>
      <c r="AH501" s="1" t="s">
        <v>64</v>
      </c>
    </row>
    <row r="502" spans="1:34" ht="15" customHeight="1">
      <c r="A502" t="s">
        <v>866</v>
      </c>
      <c r="B502" t="s">
        <v>867</v>
      </c>
      <c r="C502" s="24">
        <v>2</v>
      </c>
      <c r="D502" t="s">
        <v>38</v>
      </c>
      <c r="E502" t="s">
        <v>38</v>
      </c>
      <c r="F502" t="s">
        <v>39</v>
      </c>
      <c r="G502" t="s">
        <v>40</v>
      </c>
      <c r="H502" t="s">
        <v>868</v>
      </c>
      <c r="I502" t="s">
        <v>92</v>
      </c>
      <c r="J502" t="s">
        <v>42</v>
      </c>
      <c r="K502" t="s">
        <v>42</v>
      </c>
      <c r="L502" t="s">
        <v>42</v>
      </c>
      <c r="M502" s="1" t="s">
        <v>42</v>
      </c>
      <c r="N502" s="39" t="s">
        <v>786</v>
      </c>
      <c r="O502" t="s">
        <v>44</v>
      </c>
      <c r="P502" s="39" t="s">
        <v>873</v>
      </c>
      <c r="Q502" t="s">
        <v>670</v>
      </c>
      <c r="R502" t="s">
        <v>870</v>
      </c>
      <c r="S502" t="s">
        <v>871</v>
      </c>
      <c r="T502" t="s">
        <v>872</v>
      </c>
      <c r="U502" t="s">
        <v>42</v>
      </c>
      <c r="V502" t="s">
        <v>42</v>
      </c>
      <c r="W502" s="8" t="s">
        <v>50</v>
      </c>
      <c r="X502" t="s">
        <v>85</v>
      </c>
      <c r="Y502" s="8">
        <v>1</v>
      </c>
      <c r="Z502">
        <v>0</v>
      </c>
      <c r="AA502">
        <v>0</v>
      </c>
      <c r="AB502">
        <v>0</v>
      </c>
      <c r="AC502">
        <v>2011</v>
      </c>
      <c r="AD502" s="1">
        <v>2012</v>
      </c>
      <c r="AE502" s="6">
        <v>1</v>
      </c>
      <c r="AF502">
        <v>8</v>
      </c>
      <c r="AG502" t="s">
        <v>64</v>
      </c>
      <c r="AH502" s="1" t="s">
        <v>64</v>
      </c>
    </row>
    <row r="503" spans="1:34" ht="15" customHeight="1">
      <c r="A503" t="s">
        <v>866</v>
      </c>
      <c r="B503" t="s">
        <v>867</v>
      </c>
      <c r="C503" s="24">
        <v>3</v>
      </c>
      <c r="D503" t="s">
        <v>38</v>
      </c>
      <c r="E503" t="s">
        <v>38</v>
      </c>
      <c r="F503" t="s">
        <v>39</v>
      </c>
      <c r="G503" t="s">
        <v>40</v>
      </c>
      <c r="H503" t="s">
        <v>868</v>
      </c>
      <c r="I503" t="s">
        <v>91</v>
      </c>
      <c r="J503" t="s">
        <v>92</v>
      </c>
      <c r="K503" t="s">
        <v>42</v>
      </c>
      <c r="L503" t="s">
        <v>42</v>
      </c>
      <c r="M503" s="1" t="s">
        <v>42</v>
      </c>
      <c r="N503" s="39" t="s">
        <v>786</v>
      </c>
      <c r="O503" t="s">
        <v>44</v>
      </c>
      <c r="P503" s="39" t="s">
        <v>874</v>
      </c>
      <c r="Q503" t="s">
        <v>875</v>
      </c>
      <c r="R503" t="s">
        <v>870</v>
      </c>
      <c r="S503" t="s">
        <v>88</v>
      </c>
      <c r="T503" t="s">
        <v>876</v>
      </c>
      <c r="U503" t="s">
        <v>42</v>
      </c>
      <c r="V503" t="s">
        <v>42</v>
      </c>
      <c r="W503" s="8" t="s">
        <v>50</v>
      </c>
      <c r="X503" t="s">
        <v>85</v>
      </c>
      <c r="Y503" s="8">
        <v>1</v>
      </c>
      <c r="Z503">
        <v>0</v>
      </c>
      <c r="AA503">
        <v>0</v>
      </c>
      <c r="AB503">
        <v>0</v>
      </c>
      <c r="AC503">
        <v>2011</v>
      </c>
      <c r="AD503" s="1">
        <v>2012</v>
      </c>
      <c r="AE503" s="6">
        <v>1</v>
      </c>
      <c r="AF503">
        <v>2</v>
      </c>
      <c r="AG503" t="s">
        <v>64</v>
      </c>
      <c r="AH503" s="1" t="s">
        <v>64</v>
      </c>
    </row>
    <row r="504" spans="1:34" ht="15" customHeight="1">
      <c r="A504" t="s">
        <v>866</v>
      </c>
      <c r="B504" t="s">
        <v>867</v>
      </c>
      <c r="C504" s="24">
        <v>4</v>
      </c>
      <c r="D504" t="s">
        <v>38</v>
      </c>
      <c r="E504" t="s">
        <v>38</v>
      </c>
      <c r="F504" t="s">
        <v>39</v>
      </c>
      <c r="G504" t="s">
        <v>40</v>
      </c>
      <c r="H504" t="s">
        <v>91</v>
      </c>
      <c r="I504" t="s">
        <v>92</v>
      </c>
      <c r="J504" t="s">
        <v>42</v>
      </c>
      <c r="K504" t="s">
        <v>42</v>
      </c>
      <c r="L504" t="s">
        <v>42</v>
      </c>
      <c r="M504" s="1" t="s">
        <v>42</v>
      </c>
      <c r="N504" s="39" t="s">
        <v>786</v>
      </c>
      <c r="O504" t="s">
        <v>44</v>
      </c>
      <c r="P504" s="39" t="s">
        <v>869</v>
      </c>
      <c r="Q504" t="s">
        <v>877</v>
      </c>
      <c r="R504" s="2" t="s">
        <v>878</v>
      </c>
      <c r="S504" t="s">
        <v>871</v>
      </c>
      <c r="T504" t="s">
        <v>42</v>
      </c>
      <c r="U504" t="s">
        <v>42</v>
      </c>
      <c r="V504" t="s">
        <v>42</v>
      </c>
      <c r="W504" s="8" t="s">
        <v>50</v>
      </c>
      <c r="X504" t="s">
        <v>85</v>
      </c>
      <c r="Y504" s="8">
        <v>1</v>
      </c>
      <c r="Z504">
        <v>0</v>
      </c>
      <c r="AA504">
        <v>0</v>
      </c>
      <c r="AB504">
        <v>0</v>
      </c>
      <c r="AC504">
        <v>2011</v>
      </c>
      <c r="AD504" s="1">
        <v>2012</v>
      </c>
      <c r="AE504" s="6">
        <v>1</v>
      </c>
      <c r="AF504">
        <v>2</v>
      </c>
      <c r="AG504" t="s">
        <v>64</v>
      </c>
      <c r="AH504" s="1" t="s">
        <v>64</v>
      </c>
    </row>
    <row r="505" spans="1:34" ht="15" customHeight="1">
      <c r="A505" t="s">
        <v>866</v>
      </c>
      <c r="B505" t="s">
        <v>867</v>
      </c>
      <c r="C505" s="24">
        <v>5</v>
      </c>
      <c r="D505" t="s">
        <v>38</v>
      </c>
      <c r="E505" t="s">
        <v>38</v>
      </c>
      <c r="F505" t="s">
        <v>39</v>
      </c>
      <c r="G505" t="s">
        <v>40</v>
      </c>
      <c r="H505" t="s">
        <v>91</v>
      </c>
      <c r="I505" t="s">
        <v>92</v>
      </c>
      <c r="J505" t="s">
        <v>42</v>
      </c>
      <c r="K505" t="s">
        <v>42</v>
      </c>
      <c r="L505" t="s">
        <v>42</v>
      </c>
      <c r="M505" s="1" t="s">
        <v>42</v>
      </c>
      <c r="N505" s="39" t="s">
        <v>786</v>
      </c>
      <c r="O505" t="s">
        <v>44</v>
      </c>
      <c r="P505" s="39" t="s">
        <v>873</v>
      </c>
      <c r="Q505" t="s">
        <v>877</v>
      </c>
      <c r="R505" s="2" t="s">
        <v>878</v>
      </c>
      <c r="S505" t="s">
        <v>871</v>
      </c>
      <c r="T505" t="s">
        <v>42</v>
      </c>
      <c r="U505" t="s">
        <v>42</v>
      </c>
      <c r="V505" t="s">
        <v>42</v>
      </c>
      <c r="W505" s="8" t="s">
        <v>50</v>
      </c>
      <c r="X505" t="s">
        <v>85</v>
      </c>
      <c r="Y505" s="8">
        <v>1</v>
      </c>
      <c r="Z505">
        <v>0</v>
      </c>
      <c r="AA505">
        <v>0</v>
      </c>
      <c r="AB505">
        <v>0</v>
      </c>
      <c r="AC505">
        <v>2011</v>
      </c>
      <c r="AD505" s="1">
        <v>2012</v>
      </c>
      <c r="AE505" s="6">
        <v>1</v>
      </c>
      <c r="AF505">
        <v>2</v>
      </c>
      <c r="AG505" t="s">
        <v>64</v>
      </c>
      <c r="AH505" s="1" t="s">
        <v>64</v>
      </c>
    </row>
    <row r="506" spans="1:34" ht="15" customHeight="1">
      <c r="A506" t="s">
        <v>866</v>
      </c>
      <c r="B506" t="s">
        <v>867</v>
      </c>
      <c r="C506" s="24">
        <v>6</v>
      </c>
      <c r="D506" t="s">
        <v>38</v>
      </c>
      <c r="E506" t="s">
        <v>38</v>
      </c>
      <c r="F506" t="s">
        <v>39</v>
      </c>
      <c r="G506" t="s">
        <v>40</v>
      </c>
      <c r="H506" t="s">
        <v>91</v>
      </c>
      <c r="I506" t="s">
        <v>92</v>
      </c>
      <c r="J506" t="s">
        <v>42</v>
      </c>
      <c r="K506" t="s">
        <v>42</v>
      </c>
      <c r="L506" t="s">
        <v>42</v>
      </c>
      <c r="M506" s="1" t="s">
        <v>42</v>
      </c>
      <c r="N506" s="39" t="s">
        <v>786</v>
      </c>
      <c r="O506" t="s">
        <v>44</v>
      </c>
      <c r="P506" s="39" t="s">
        <v>869</v>
      </c>
      <c r="Q506" t="s">
        <v>879</v>
      </c>
      <c r="R506" t="s">
        <v>880</v>
      </c>
      <c r="S506" t="s">
        <v>871</v>
      </c>
      <c r="T506" t="s">
        <v>42</v>
      </c>
      <c r="U506" t="s">
        <v>42</v>
      </c>
      <c r="V506" t="s">
        <v>42</v>
      </c>
      <c r="W506" s="8" t="s">
        <v>50</v>
      </c>
      <c r="X506" t="s">
        <v>85</v>
      </c>
      <c r="Y506" s="8">
        <v>1</v>
      </c>
      <c r="Z506">
        <v>0</v>
      </c>
      <c r="AA506">
        <v>0</v>
      </c>
      <c r="AB506">
        <v>0</v>
      </c>
      <c r="AC506">
        <v>2011</v>
      </c>
      <c r="AD506" s="1">
        <v>2012</v>
      </c>
      <c r="AE506" s="6">
        <v>1</v>
      </c>
      <c r="AF506">
        <v>2</v>
      </c>
      <c r="AG506" t="s">
        <v>64</v>
      </c>
      <c r="AH506" s="1" t="s">
        <v>64</v>
      </c>
    </row>
    <row r="507" spans="1:34" ht="15" customHeight="1">
      <c r="A507" t="s">
        <v>866</v>
      </c>
      <c r="B507" t="s">
        <v>867</v>
      </c>
      <c r="C507" s="24">
        <v>7</v>
      </c>
      <c r="D507" t="s">
        <v>38</v>
      </c>
      <c r="E507" t="s">
        <v>38</v>
      </c>
      <c r="F507" t="s">
        <v>39</v>
      </c>
      <c r="G507" t="s">
        <v>40</v>
      </c>
      <c r="H507" t="s">
        <v>91</v>
      </c>
      <c r="I507" t="s">
        <v>92</v>
      </c>
      <c r="J507" t="s">
        <v>42</v>
      </c>
      <c r="K507" t="s">
        <v>42</v>
      </c>
      <c r="L507" t="s">
        <v>42</v>
      </c>
      <c r="M507" s="1" t="s">
        <v>42</v>
      </c>
      <c r="N507" s="39" t="s">
        <v>786</v>
      </c>
      <c r="O507" t="s">
        <v>44</v>
      </c>
      <c r="P507" s="39" t="s">
        <v>873</v>
      </c>
      <c r="Q507" t="s">
        <v>879</v>
      </c>
      <c r="R507" t="s">
        <v>880</v>
      </c>
      <c r="S507" t="s">
        <v>871</v>
      </c>
      <c r="T507" t="s">
        <v>42</v>
      </c>
      <c r="U507" t="s">
        <v>42</v>
      </c>
      <c r="V507" t="s">
        <v>42</v>
      </c>
      <c r="W507" s="8" t="s">
        <v>50</v>
      </c>
      <c r="X507" t="s">
        <v>85</v>
      </c>
      <c r="Y507" s="8">
        <v>1</v>
      </c>
      <c r="Z507">
        <v>0</v>
      </c>
      <c r="AA507">
        <v>0</v>
      </c>
      <c r="AB507">
        <v>0</v>
      </c>
      <c r="AC507">
        <v>2011</v>
      </c>
      <c r="AD507" s="1">
        <v>2012</v>
      </c>
      <c r="AE507" s="6">
        <v>1</v>
      </c>
      <c r="AF507">
        <v>2</v>
      </c>
      <c r="AG507" t="s">
        <v>64</v>
      </c>
      <c r="AH507" s="1" t="s">
        <v>64</v>
      </c>
    </row>
    <row r="508" spans="1:34" ht="15" customHeight="1">
      <c r="A508" t="s">
        <v>866</v>
      </c>
      <c r="B508" t="s">
        <v>867</v>
      </c>
      <c r="C508" s="24">
        <v>8</v>
      </c>
      <c r="D508" t="s">
        <v>38</v>
      </c>
      <c r="E508" t="s">
        <v>38</v>
      </c>
      <c r="F508" t="s">
        <v>39</v>
      </c>
      <c r="G508" t="s">
        <v>40</v>
      </c>
      <c r="H508" t="s">
        <v>91</v>
      </c>
      <c r="I508" t="s">
        <v>92</v>
      </c>
      <c r="J508" t="s">
        <v>42</v>
      </c>
      <c r="K508" t="s">
        <v>42</v>
      </c>
      <c r="L508" t="s">
        <v>42</v>
      </c>
      <c r="M508" s="1" t="s">
        <v>42</v>
      </c>
      <c r="N508" s="39" t="s">
        <v>786</v>
      </c>
      <c r="O508" t="s">
        <v>44</v>
      </c>
      <c r="P508" s="39" t="s">
        <v>869</v>
      </c>
      <c r="Q508" t="s">
        <v>881</v>
      </c>
      <c r="R508" t="s">
        <v>882</v>
      </c>
      <c r="S508" t="s">
        <v>871</v>
      </c>
      <c r="T508" t="s">
        <v>42</v>
      </c>
      <c r="U508" t="s">
        <v>42</v>
      </c>
      <c r="V508" t="s">
        <v>42</v>
      </c>
      <c r="W508" s="8" t="s">
        <v>50</v>
      </c>
      <c r="X508" t="s">
        <v>85</v>
      </c>
      <c r="Y508" s="8">
        <v>1</v>
      </c>
      <c r="Z508">
        <v>0</v>
      </c>
      <c r="AA508">
        <v>0</v>
      </c>
      <c r="AB508">
        <v>0</v>
      </c>
      <c r="AC508">
        <v>2011</v>
      </c>
      <c r="AD508" s="1">
        <v>2012</v>
      </c>
      <c r="AE508" s="6">
        <v>1</v>
      </c>
      <c r="AF508">
        <v>2</v>
      </c>
      <c r="AG508" t="s">
        <v>64</v>
      </c>
      <c r="AH508" s="1" t="s">
        <v>64</v>
      </c>
    </row>
    <row r="509" spans="1:34" s="9" customFormat="1" ht="15" customHeight="1">
      <c r="A509" s="9" t="s">
        <v>866</v>
      </c>
      <c r="B509" s="9" t="s">
        <v>867</v>
      </c>
      <c r="C509" s="25">
        <v>9</v>
      </c>
      <c r="D509" s="9" t="s">
        <v>38</v>
      </c>
      <c r="E509" s="9" t="s">
        <v>38</v>
      </c>
      <c r="F509" s="9" t="s">
        <v>39</v>
      </c>
      <c r="G509" s="9" t="s">
        <v>40</v>
      </c>
      <c r="H509" s="9" t="s">
        <v>91</v>
      </c>
      <c r="I509" s="9" t="s">
        <v>92</v>
      </c>
      <c r="J509" s="9" t="s">
        <v>42</v>
      </c>
      <c r="K509" s="9" t="s">
        <v>42</v>
      </c>
      <c r="L509" s="9" t="s">
        <v>42</v>
      </c>
      <c r="M509" s="10" t="s">
        <v>42</v>
      </c>
      <c r="N509" s="39" t="s">
        <v>786</v>
      </c>
      <c r="O509" s="9" t="s">
        <v>44</v>
      </c>
      <c r="P509" s="40" t="s">
        <v>873</v>
      </c>
      <c r="Q509" s="9" t="s">
        <v>881</v>
      </c>
      <c r="R509" s="9" t="s">
        <v>882</v>
      </c>
      <c r="S509" s="9" t="s">
        <v>871</v>
      </c>
      <c r="T509" s="9" t="s">
        <v>42</v>
      </c>
      <c r="U509" s="9" t="s">
        <v>42</v>
      </c>
      <c r="V509" s="9" t="s">
        <v>42</v>
      </c>
      <c r="W509" s="11" t="s">
        <v>50</v>
      </c>
      <c r="X509" s="9" t="s">
        <v>85</v>
      </c>
      <c r="Y509" s="11">
        <v>1</v>
      </c>
      <c r="Z509" s="9">
        <v>0</v>
      </c>
      <c r="AA509" s="9">
        <v>0</v>
      </c>
      <c r="AB509" s="9">
        <v>0</v>
      </c>
      <c r="AC509" s="9">
        <v>2011</v>
      </c>
      <c r="AD509" s="10">
        <v>2012</v>
      </c>
      <c r="AE509" s="13">
        <v>1</v>
      </c>
      <c r="AF509" s="9">
        <v>2</v>
      </c>
      <c r="AG509" s="9" t="s">
        <v>64</v>
      </c>
      <c r="AH509" s="10" t="s">
        <v>64</v>
      </c>
    </row>
    <row r="510" spans="1:34" ht="15" customHeight="1">
      <c r="A510" t="s">
        <v>883</v>
      </c>
      <c r="B510" t="s">
        <v>760</v>
      </c>
      <c r="C510" s="24">
        <v>1</v>
      </c>
      <c r="D510" t="s">
        <v>38</v>
      </c>
      <c r="E510" t="s">
        <v>38</v>
      </c>
      <c r="F510" t="s">
        <v>39</v>
      </c>
      <c r="G510" t="s">
        <v>40</v>
      </c>
      <c r="H510" t="s">
        <v>91</v>
      </c>
      <c r="I510" t="s">
        <v>92</v>
      </c>
      <c r="J510" t="s">
        <v>252</v>
      </c>
      <c r="K510" t="s">
        <v>42</v>
      </c>
      <c r="L510" t="s">
        <v>42</v>
      </c>
      <c r="M510" s="1" t="s">
        <v>42</v>
      </c>
      <c r="N510" s="39" t="s">
        <v>132</v>
      </c>
      <c r="O510" t="s">
        <v>86</v>
      </c>
      <c r="P510" s="39" t="s">
        <v>132</v>
      </c>
      <c r="Q510" t="s">
        <v>254</v>
      </c>
      <c r="R510" t="s">
        <v>255</v>
      </c>
      <c r="S510" t="s">
        <v>181</v>
      </c>
      <c r="T510" t="s">
        <v>42</v>
      </c>
      <c r="U510" t="s">
        <v>42</v>
      </c>
      <c r="V510" t="s">
        <v>42</v>
      </c>
      <c r="W510" s="8" t="s">
        <v>64</v>
      </c>
      <c r="X510" t="s">
        <v>42</v>
      </c>
      <c r="Y510" s="8">
        <v>1</v>
      </c>
      <c r="Z510">
        <v>0</v>
      </c>
      <c r="AA510">
        <v>0</v>
      </c>
      <c r="AB510">
        <v>0</v>
      </c>
      <c r="AC510" s="5">
        <v>2001</v>
      </c>
      <c r="AD510" s="1">
        <v>2001</v>
      </c>
      <c r="AE510" s="6" t="s">
        <v>72</v>
      </c>
      <c r="AF510">
        <v>5</v>
      </c>
      <c r="AG510" t="s">
        <v>64</v>
      </c>
      <c r="AH510" s="1" t="s">
        <v>64</v>
      </c>
    </row>
    <row r="511" spans="1:34" ht="15" customHeight="1">
      <c r="A511" t="s">
        <v>883</v>
      </c>
      <c r="B511" t="s">
        <v>760</v>
      </c>
      <c r="C511" s="24">
        <v>2</v>
      </c>
      <c r="D511" t="s">
        <v>38</v>
      </c>
      <c r="E511" t="s">
        <v>38</v>
      </c>
      <c r="F511" t="s">
        <v>39</v>
      </c>
      <c r="G511" t="s">
        <v>40</v>
      </c>
      <c r="H511" t="s">
        <v>91</v>
      </c>
      <c r="I511" t="s">
        <v>92</v>
      </c>
      <c r="J511" t="s">
        <v>252</v>
      </c>
      <c r="K511" t="s">
        <v>42</v>
      </c>
      <c r="L511" t="s">
        <v>42</v>
      </c>
      <c r="M511" s="1" t="s">
        <v>42</v>
      </c>
      <c r="N511" s="39" t="s">
        <v>43</v>
      </c>
      <c r="O511" t="s">
        <v>86</v>
      </c>
      <c r="P511" s="39" t="s">
        <v>377</v>
      </c>
      <c r="Q511" t="s">
        <v>254</v>
      </c>
      <c r="R511" t="s">
        <v>255</v>
      </c>
      <c r="S511" t="s">
        <v>136</v>
      </c>
      <c r="T511" t="s">
        <v>42</v>
      </c>
      <c r="U511" t="s">
        <v>42</v>
      </c>
      <c r="V511" t="s">
        <v>42</v>
      </c>
      <c r="W511" s="8" t="s">
        <v>64</v>
      </c>
      <c r="X511" t="s">
        <v>42</v>
      </c>
      <c r="Y511" s="8">
        <v>1</v>
      </c>
      <c r="Z511">
        <v>0</v>
      </c>
      <c r="AA511">
        <v>0</v>
      </c>
      <c r="AB511">
        <v>0</v>
      </c>
      <c r="AC511" s="5">
        <v>2001</v>
      </c>
      <c r="AD511" s="1">
        <v>2001</v>
      </c>
      <c r="AE511" s="6" t="s">
        <v>72</v>
      </c>
      <c r="AF511">
        <v>5</v>
      </c>
      <c r="AG511" t="s">
        <v>64</v>
      </c>
      <c r="AH511" s="1" t="s">
        <v>64</v>
      </c>
    </row>
    <row r="512" spans="1:34" ht="15" customHeight="1">
      <c r="A512" t="s">
        <v>883</v>
      </c>
      <c r="B512" t="s">
        <v>760</v>
      </c>
      <c r="C512" s="24">
        <v>3</v>
      </c>
      <c r="D512" t="s">
        <v>38</v>
      </c>
      <c r="E512" t="s">
        <v>38</v>
      </c>
      <c r="F512" t="s">
        <v>39</v>
      </c>
      <c r="G512" t="s">
        <v>40</v>
      </c>
      <c r="H512" t="s">
        <v>91</v>
      </c>
      <c r="I512" t="s">
        <v>92</v>
      </c>
      <c r="J512" t="s">
        <v>252</v>
      </c>
      <c r="K512" t="s">
        <v>42</v>
      </c>
      <c r="L512" t="s">
        <v>42</v>
      </c>
      <c r="M512" s="1" t="s">
        <v>42</v>
      </c>
      <c r="N512" s="39" t="s">
        <v>60</v>
      </c>
      <c r="O512" t="s">
        <v>86</v>
      </c>
      <c r="P512" s="39" t="s">
        <v>884</v>
      </c>
      <c r="Q512" t="s">
        <v>254</v>
      </c>
      <c r="R512" t="s">
        <v>255</v>
      </c>
      <c r="S512" t="s">
        <v>88</v>
      </c>
      <c r="T512" t="s">
        <v>42</v>
      </c>
      <c r="U512" t="s">
        <v>42</v>
      </c>
      <c r="V512" t="s">
        <v>42</v>
      </c>
      <c r="W512" s="8" t="s">
        <v>64</v>
      </c>
      <c r="X512" t="s">
        <v>42</v>
      </c>
      <c r="Y512" s="8">
        <v>1</v>
      </c>
      <c r="Z512">
        <v>0</v>
      </c>
      <c r="AA512">
        <v>0</v>
      </c>
      <c r="AB512">
        <v>0</v>
      </c>
      <c r="AC512" s="5">
        <v>2001</v>
      </c>
      <c r="AD512" s="1">
        <v>2001</v>
      </c>
      <c r="AE512" s="6" t="s">
        <v>72</v>
      </c>
      <c r="AF512">
        <v>5</v>
      </c>
      <c r="AG512" t="s">
        <v>64</v>
      </c>
      <c r="AH512" s="1" t="s">
        <v>64</v>
      </c>
    </row>
    <row r="513" spans="1:34" ht="15" customHeight="1">
      <c r="A513" t="s">
        <v>883</v>
      </c>
      <c r="B513" t="s">
        <v>760</v>
      </c>
      <c r="C513" s="24">
        <v>4</v>
      </c>
      <c r="D513" t="s">
        <v>38</v>
      </c>
      <c r="E513" t="s">
        <v>38</v>
      </c>
      <c r="F513" t="s">
        <v>39</v>
      </c>
      <c r="G513" t="s">
        <v>40</v>
      </c>
      <c r="H513" t="s">
        <v>91</v>
      </c>
      <c r="I513" t="s">
        <v>92</v>
      </c>
      <c r="J513" t="s">
        <v>252</v>
      </c>
      <c r="K513" t="s">
        <v>42</v>
      </c>
      <c r="L513" t="s">
        <v>42</v>
      </c>
      <c r="M513" s="1" t="s">
        <v>42</v>
      </c>
      <c r="N513" s="39" t="s">
        <v>60</v>
      </c>
      <c r="O513" t="s">
        <v>44</v>
      </c>
      <c r="P513" s="39" t="s">
        <v>253</v>
      </c>
      <c r="Q513" t="s">
        <v>254</v>
      </c>
      <c r="R513" t="s">
        <v>255</v>
      </c>
      <c r="S513" t="s">
        <v>885</v>
      </c>
      <c r="T513" t="s">
        <v>42</v>
      </c>
      <c r="U513" t="s">
        <v>42</v>
      </c>
      <c r="V513" t="s">
        <v>42</v>
      </c>
      <c r="W513" s="8" t="s">
        <v>50</v>
      </c>
      <c r="X513" t="s">
        <v>886</v>
      </c>
      <c r="Y513" s="8">
        <v>1</v>
      </c>
      <c r="Z513">
        <v>0</v>
      </c>
      <c r="AA513">
        <v>0</v>
      </c>
      <c r="AB513">
        <v>0</v>
      </c>
      <c r="AC513" s="5">
        <v>2001</v>
      </c>
      <c r="AD513" s="1">
        <v>2001</v>
      </c>
      <c r="AE513" s="6" t="s">
        <v>72</v>
      </c>
      <c r="AF513">
        <v>7</v>
      </c>
      <c r="AG513" t="s">
        <v>64</v>
      </c>
      <c r="AH513" s="1" t="s">
        <v>64</v>
      </c>
    </row>
    <row r="514" spans="1:34" s="9" customFormat="1" ht="15" customHeight="1">
      <c r="A514" s="9" t="s">
        <v>883</v>
      </c>
      <c r="B514" s="9" t="s">
        <v>760</v>
      </c>
      <c r="C514" s="25">
        <v>5</v>
      </c>
      <c r="D514" s="9" t="s">
        <v>38</v>
      </c>
      <c r="E514" s="9" t="s">
        <v>38</v>
      </c>
      <c r="F514" s="9" t="s">
        <v>39</v>
      </c>
      <c r="G514" s="9" t="s">
        <v>40</v>
      </c>
      <c r="H514" s="9" t="s">
        <v>91</v>
      </c>
      <c r="I514" s="9" t="s">
        <v>92</v>
      </c>
      <c r="J514" s="9" t="s">
        <v>252</v>
      </c>
      <c r="K514" s="9" t="s">
        <v>42</v>
      </c>
      <c r="L514" s="9" t="s">
        <v>42</v>
      </c>
      <c r="M514" s="10" t="s">
        <v>42</v>
      </c>
      <c r="N514" s="40" t="s">
        <v>132</v>
      </c>
      <c r="O514" t="s">
        <v>44</v>
      </c>
      <c r="P514" s="40" t="s">
        <v>887</v>
      </c>
      <c r="Q514" s="9" t="s">
        <v>383</v>
      </c>
      <c r="R514" s="9" t="s">
        <v>42</v>
      </c>
      <c r="S514" s="9" t="s">
        <v>384</v>
      </c>
      <c r="T514" s="9" t="s">
        <v>888</v>
      </c>
      <c r="U514" s="9" t="s">
        <v>42</v>
      </c>
      <c r="V514" s="9" t="s">
        <v>42</v>
      </c>
      <c r="W514" s="11" t="s">
        <v>50</v>
      </c>
      <c r="X514" s="9" t="s">
        <v>85</v>
      </c>
      <c r="Y514" s="11">
        <v>1</v>
      </c>
      <c r="Z514" s="9">
        <v>0</v>
      </c>
      <c r="AA514" s="9">
        <v>0</v>
      </c>
      <c r="AB514" s="9">
        <v>0</v>
      </c>
      <c r="AC514" s="12">
        <v>2001</v>
      </c>
      <c r="AD514" s="10">
        <v>2001</v>
      </c>
      <c r="AE514" s="13" t="s">
        <v>72</v>
      </c>
      <c r="AF514" s="9">
        <v>7</v>
      </c>
      <c r="AG514" s="9" t="s">
        <v>64</v>
      </c>
      <c r="AH514" s="10" t="s">
        <v>64</v>
      </c>
    </row>
    <row r="515" spans="1:34" ht="15" customHeight="1">
      <c r="A515" t="s">
        <v>889</v>
      </c>
      <c r="B515" t="s">
        <v>890</v>
      </c>
      <c r="C515" s="1">
        <v>1</v>
      </c>
      <c r="D515" t="s">
        <v>502</v>
      </c>
      <c r="E515" t="s">
        <v>426</v>
      </c>
      <c r="F515" t="s">
        <v>39</v>
      </c>
      <c r="G515" t="s">
        <v>40</v>
      </c>
      <c r="H515" t="s">
        <v>444</v>
      </c>
      <c r="I515" t="s">
        <v>427</v>
      </c>
      <c r="J515" t="s">
        <v>42</v>
      </c>
      <c r="K515" t="s">
        <v>42</v>
      </c>
      <c r="L515" t="s">
        <v>42</v>
      </c>
      <c r="M515" s="1" t="s">
        <v>42</v>
      </c>
      <c r="N515" s="39" t="s">
        <v>430</v>
      </c>
      <c r="O515" t="s">
        <v>44</v>
      </c>
      <c r="P515" s="39" t="s">
        <v>435</v>
      </c>
      <c r="Q515" t="s">
        <v>42</v>
      </c>
      <c r="R515" t="s">
        <v>42</v>
      </c>
      <c r="S515" t="s">
        <v>891</v>
      </c>
      <c r="T515" t="s">
        <v>42</v>
      </c>
      <c r="U515" t="s">
        <v>892</v>
      </c>
      <c r="V515" t="s">
        <v>893</v>
      </c>
      <c r="W515" s="8" t="s">
        <v>50</v>
      </c>
      <c r="X515" t="s">
        <v>894</v>
      </c>
      <c r="Y515" s="8">
        <v>0</v>
      </c>
      <c r="Z515">
        <v>0</v>
      </c>
      <c r="AA515">
        <v>19</v>
      </c>
      <c r="AB515">
        <v>0</v>
      </c>
      <c r="AC515" s="5">
        <v>2018</v>
      </c>
      <c r="AD515" s="1">
        <v>2019</v>
      </c>
      <c r="AE515" s="6" t="s">
        <v>72</v>
      </c>
      <c r="AF515">
        <v>1</v>
      </c>
      <c r="AG515" t="s">
        <v>64</v>
      </c>
      <c r="AH515" s="1" t="s">
        <v>64</v>
      </c>
    </row>
    <row r="516" spans="1:34" ht="15" customHeight="1">
      <c r="A516" t="s">
        <v>889</v>
      </c>
      <c r="B516" t="s">
        <v>890</v>
      </c>
      <c r="C516" s="1">
        <v>2</v>
      </c>
      <c r="D516" t="s">
        <v>502</v>
      </c>
      <c r="E516" t="s">
        <v>426</v>
      </c>
      <c r="F516" t="s">
        <v>39</v>
      </c>
      <c r="G516" t="s">
        <v>40</v>
      </c>
      <c r="H516" t="s">
        <v>444</v>
      </c>
      <c r="I516" t="s">
        <v>427</v>
      </c>
      <c r="J516" t="s">
        <v>42</v>
      </c>
      <c r="K516" t="s">
        <v>42</v>
      </c>
      <c r="L516" t="s">
        <v>42</v>
      </c>
      <c r="M516" s="1" t="s">
        <v>42</v>
      </c>
      <c r="N516" s="39" t="s">
        <v>430</v>
      </c>
      <c r="O516" t="s">
        <v>44</v>
      </c>
      <c r="P516" s="39" t="s">
        <v>493</v>
      </c>
      <c r="Q516" t="s">
        <v>42</v>
      </c>
      <c r="R516" t="s">
        <v>42</v>
      </c>
      <c r="S516" t="s">
        <v>891</v>
      </c>
      <c r="T516" t="s">
        <v>42</v>
      </c>
      <c r="U516" t="s">
        <v>892</v>
      </c>
      <c r="V516" t="s">
        <v>893</v>
      </c>
      <c r="W516" s="8" t="s">
        <v>50</v>
      </c>
      <c r="X516" t="s">
        <v>894</v>
      </c>
      <c r="Y516" s="8">
        <v>0</v>
      </c>
      <c r="Z516">
        <v>0</v>
      </c>
      <c r="AA516">
        <v>19</v>
      </c>
      <c r="AB516">
        <v>0</v>
      </c>
      <c r="AC516" s="5">
        <v>2018</v>
      </c>
      <c r="AD516" s="1">
        <v>2019</v>
      </c>
      <c r="AE516" s="6" t="s">
        <v>72</v>
      </c>
      <c r="AF516">
        <v>1</v>
      </c>
      <c r="AG516" t="s">
        <v>64</v>
      </c>
      <c r="AH516" s="1" t="s">
        <v>64</v>
      </c>
    </row>
    <row r="517" spans="1:34" ht="15" customHeight="1">
      <c r="A517" t="s">
        <v>889</v>
      </c>
      <c r="B517" t="s">
        <v>890</v>
      </c>
      <c r="C517" s="1">
        <v>3</v>
      </c>
      <c r="D517" t="s">
        <v>502</v>
      </c>
      <c r="E517" t="s">
        <v>426</v>
      </c>
      <c r="F517" t="s">
        <v>39</v>
      </c>
      <c r="G517" t="s">
        <v>40</v>
      </c>
      <c r="H517" t="s">
        <v>444</v>
      </c>
      <c r="I517" t="s">
        <v>427</v>
      </c>
      <c r="J517" t="s">
        <v>42</v>
      </c>
      <c r="K517" t="s">
        <v>42</v>
      </c>
      <c r="L517" t="s">
        <v>42</v>
      </c>
      <c r="M517" s="1" t="s">
        <v>42</v>
      </c>
      <c r="N517" s="39" t="s">
        <v>430</v>
      </c>
      <c r="O517" t="s">
        <v>44</v>
      </c>
      <c r="P517" s="39" t="s">
        <v>431</v>
      </c>
      <c r="Q517" t="s">
        <v>42</v>
      </c>
      <c r="R517" t="s">
        <v>42</v>
      </c>
      <c r="S517" t="s">
        <v>891</v>
      </c>
      <c r="T517" t="s">
        <v>42</v>
      </c>
      <c r="U517" t="s">
        <v>892</v>
      </c>
      <c r="V517" t="s">
        <v>893</v>
      </c>
      <c r="W517" s="8" t="s">
        <v>50</v>
      </c>
      <c r="X517" t="s">
        <v>894</v>
      </c>
      <c r="Y517" s="8">
        <v>0</v>
      </c>
      <c r="Z517">
        <v>0</v>
      </c>
      <c r="AA517">
        <v>19</v>
      </c>
      <c r="AB517">
        <v>0</v>
      </c>
      <c r="AC517" s="5">
        <v>2018</v>
      </c>
      <c r="AD517" s="1">
        <v>2019</v>
      </c>
      <c r="AE517" s="6" t="s">
        <v>72</v>
      </c>
      <c r="AF517">
        <v>1</v>
      </c>
      <c r="AG517" t="s">
        <v>64</v>
      </c>
      <c r="AH517" s="1" t="s">
        <v>64</v>
      </c>
    </row>
    <row r="518" spans="1:34" ht="15" customHeight="1">
      <c r="A518" t="s">
        <v>889</v>
      </c>
      <c r="B518" t="s">
        <v>890</v>
      </c>
      <c r="C518" s="1">
        <v>4</v>
      </c>
      <c r="D518" t="s">
        <v>502</v>
      </c>
      <c r="E518" t="s">
        <v>426</v>
      </c>
      <c r="F518" t="s">
        <v>39</v>
      </c>
      <c r="G518" t="s">
        <v>40</v>
      </c>
      <c r="H518" t="s">
        <v>444</v>
      </c>
      <c r="I518" t="s">
        <v>427</v>
      </c>
      <c r="J518" t="s">
        <v>42</v>
      </c>
      <c r="K518" t="s">
        <v>42</v>
      </c>
      <c r="L518" t="s">
        <v>42</v>
      </c>
      <c r="M518" s="1" t="s">
        <v>42</v>
      </c>
      <c r="N518" s="39" t="s">
        <v>430</v>
      </c>
      <c r="O518" t="s">
        <v>44</v>
      </c>
      <c r="P518" s="39" t="s">
        <v>473</v>
      </c>
      <c r="Q518" t="s">
        <v>42</v>
      </c>
      <c r="R518" t="s">
        <v>42</v>
      </c>
      <c r="S518" t="s">
        <v>891</v>
      </c>
      <c r="T518" t="s">
        <v>42</v>
      </c>
      <c r="U518" t="s">
        <v>892</v>
      </c>
      <c r="V518" t="s">
        <v>893</v>
      </c>
      <c r="W518" s="8" t="s">
        <v>50</v>
      </c>
      <c r="X518" t="s">
        <v>894</v>
      </c>
      <c r="Y518" s="8">
        <v>0</v>
      </c>
      <c r="Z518">
        <v>0</v>
      </c>
      <c r="AA518">
        <v>19</v>
      </c>
      <c r="AB518">
        <v>0</v>
      </c>
      <c r="AC518" s="5">
        <v>2018</v>
      </c>
      <c r="AD518" s="1">
        <v>2019</v>
      </c>
      <c r="AE518" s="6" t="s">
        <v>72</v>
      </c>
      <c r="AF518">
        <v>1</v>
      </c>
      <c r="AG518" t="s">
        <v>64</v>
      </c>
      <c r="AH518" s="1" t="s">
        <v>64</v>
      </c>
    </row>
    <row r="519" spans="1:34" ht="15" customHeight="1">
      <c r="A519" t="s">
        <v>889</v>
      </c>
      <c r="B519" t="s">
        <v>890</v>
      </c>
      <c r="C519" s="1">
        <v>5</v>
      </c>
      <c r="D519" t="s">
        <v>502</v>
      </c>
      <c r="E519" t="s">
        <v>426</v>
      </c>
      <c r="F519" t="s">
        <v>39</v>
      </c>
      <c r="G519" t="s">
        <v>40</v>
      </c>
      <c r="H519" t="s">
        <v>444</v>
      </c>
      <c r="I519" t="s">
        <v>427</v>
      </c>
      <c r="J519" t="s">
        <v>42</v>
      </c>
      <c r="K519" t="s">
        <v>42</v>
      </c>
      <c r="L519" t="s">
        <v>42</v>
      </c>
      <c r="M519" s="1" t="s">
        <v>42</v>
      </c>
      <c r="N519" s="39" t="s">
        <v>430</v>
      </c>
      <c r="O519" t="s">
        <v>44</v>
      </c>
      <c r="P519" s="39" t="s">
        <v>434</v>
      </c>
      <c r="Q519" t="s">
        <v>42</v>
      </c>
      <c r="R519" t="s">
        <v>42</v>
      </c>
      <c r="S519" t="s">
        <v>891</v>
      </c>
      <c r="T519" t="s">
        <v>42</v>
      </c>
      <c r="U519" t="s">
        <v>892</v>
      </c>
      <c r="V519" t="s">
        <v>893</v>
      </c>
      <c r="W519" s="8" t="s">
        <v>50</v>
      </c>
      <c r="X519" s="15" t="s">
        <v>895</v>
      </c>
      <c r="Y519" s="8">
        <v>0</v>
      </c>
      <c r="Z519">
        <v>0</v>
      </c>
      <c r="AA519">
        <v>19</v>
      </c>
      <c r="AB519">
        <v>0</v>
      </c>
      <c r="AC519" s="5">
        <v>2018</v>
      </c>
      <c r="AD519" s="1">
        <v>2019</v>
      </c>
      <c r="AE519" s="6" t="s">
        <v>72</v>
      </c>
      <c r="AF519">
        <v>1</v>
      </c>
      <c r="AG519" t="s">
        <v>64</v>
      </c>
      <c r="AH519" s="1" t="s">
        <v>64</v>
      </c>
    </row>
    <row r="520" spans="1:34" ht="15" customHeight="1">
      <c r="A520" t="s">
        <v>889</v>
      </c>
      <c r="B520" t="s">
        <v>890</v>
      </c>
      <c r="C520" s="1">
        <v>6</v>
      </c>
      <c r="D520" t="s">
        <v>502</v>
      </c>
      <c r="E520" t="s">
        <v>426</v>
      </c>
      <c r="F520" t="s">
        <v>39</v>
      </c>
      <c r="G520" t="s">
        <v>40</v>
      </c>
      <c r="H520" t="s">
        <v>444</v>
      </c>
      <c r="I520" t="s">
        <v>427</v>
      </c>
      <c r="J520" t="s">
        <v>42</v>
      </c>
      <c r="K520" t="s">
        <v>42</v>
      </c>
      <c r="L520" t="s">
        <v>42</v>
      </c>
      <c r="M520" s="1" t="s">
        <v>42</v>
      </c>
      <c r="N520" s="39" t="s">
        <v>430</v>
      </c>
      <c r="O520" t="s">
        <v>44</v>
      </c>
      <c r="P520" s="39" t="s">
        <v>860</v>
      </c>
      <c r="Q520" t="s">
        <v>42</v>
      </c>
      <c r="R520" t="s">
        <v>42</v>
      </c>
      <c r="S520" t="s">
        <v>891</v>
      </c>
      <c r="T520" t="s">
        <v>42</v>
      </c>
      <c r="U520" t="s">
        <v>892</v>
      </c>
      <c r="V520" t="s">
        <v>893</v>
      </c>
      <c r="W520" s="8" t="s">
        <v>50</v>
      </c>
      <c r="X520" s="15" t="s">
        <v>895</v>
      </c>
      <c r="Y520" s="8">
        <v>0</v>
      </c>
      <c r="Z520">
        <v>0</v>
      </c>
      <c r="AA520">
        <v>19</v>
      </c>
      <c r="AB520">
        <v>0</v>
      </c>
      <c r="AC520" s="5">
        <v>2018</v>
      </c>
      <c r="AD520" s="1">
        <v>2019</v>
      </c>
      <c r="AE520" s="6" t="s">
        <v>72</v>
      </c>
      <c r="AF520">
        <v>1</v>
      </c>
      <c r="AG520" t="s">
        <v>64</v>
      </c>
      <c r="AH520" s="1" t="s">
        <v>64</v>
      </c>
    </row>
    <row r="521" spans="1:34" ht="15" customHeight="1">
      <c r="A521" t="s">
        <v>889</v>
      </c>
      <c r="B521" t="s">
        <v>890</v>
      </c>
      <c r="C521" s="1">
        <v>7</v>
      </c>
      <c r="D521" t="s">
        <v>502</v>
      </c>
      <c r="E521" t="s">
        <v>426</v>
      </c>
      <c r="F521" t="s">
        <v>39</v>
      </c>
      <c r="G521" t="s">
        <v>40</v>
      </c>
      <c r="H521" t="s">
        <v>444</v>
      </c>
      <c r="I521" t="s">
        <v>427</v>
      </c>
      <c r="J521" t="s">
        <v>42</v>
      </c>
      <c r="K521" t="s">
        <v>42</v>
      </c>
      <c r="L521" t="s">
        <v>42</v>
      </c>
      <c r="M521" s="1" t="s">
        <v>42</v>
      </c>
      <c r="N521" s="39" t="s">
        <v>430</v>
      </c>
      <c r="O521" t="s">
        <v>44</v>
      </c>
      <c r="P521" s="39" t="s">
        <v>436</v>
      </c>
      <c r="Q521" t="s">
        <v>42</v>
      </c>
      <c r="R521" t="s">
        <v>42</v>
      </c>
      <c r="S521" t="s">
        <v>891</v>
      </c>
      <c r="T521" t="s">
        <v>42</v>
      </c>
      <c r="U521" t="s">
        <v>892</v>
      </c>
      <c r="V521" t="s">
        <v>893</v>
      </c>
      <c r="W521" s="8" t="s">
        <v>50</v>
      </c>
      <c r="X521" s="15" t="s">
        <v>895</v>
      </c>
      <c r="Y521" s="8">
        <v>0</v>
      </c>
      <c r="Z521">
        <v>0</v>
      </c>
      <c r="AA521">
        <v>19</v>
      </c>
      <c r="AB521">
        <v>0</v>
      </c>
      <c r="AC521" s="5">
        <v>2018</v>
      </c>
      <c r="AD521" s="1">
        <v>2019</v>
      </c>
      <c r="AE521" s="6" t="s">
        <v>72</v>
      </c>
      <c r="AF521">
        <v>1</v>
      </c>
      <c r="AG521" t="s">
        <v>64</v>
      </c>
      <c r="AH521" s="1" t="s">
        <v>64</v>
      </c>
    </row>
    <row r="522" spans="1:34" ht="15" customHeight="1">
      <c r="A522" t="s">
        <v>889</v>
      </c>
      <c r="B522" t="s">
        <v>890</v>
      </c>
      <c r="C522" s="1">
        <v>8</v>
      </c>
      <c r="D522" t="s">
        <v>502</v>
      </c>
      <c r="E522" t="s">
        <v>426</v>
      </c>
      <c r="F522" t="s">
        <v>39</v>
      </c>
      <c r="G522" t="s">
        <v>40</v>
      </c>
      <c r="H522" t="s">
        <v>444</v>
      </c>
      <c r="I522" t="s">
        <v>427</v>
      </c>
      <c r="J522" t="s">
        <v>42</v>
      </c>
      <c r="K522" t="s">
        <v>42</v>
      </c>
      <c r="L522" t="s">
        <v>42</v>
      </c>
      <c r="M522" s="1" t="s">
        <v>42</v>
      </c>
      <c r="N522" s="39" t="s">
        <v>430</v>
      </c>
      <c r="O522" t="s">
        <v>44</v>
      </c>
      <c r="P522" s="39" t="s">
        <v>456</v>
      </c>
      <c r="Q522" t="s">
        <v>42</v>
      </c>
      <c r="R522" t="s">
        <v>42</v>
      </c>
      <c r="S522" t="s">
        <v>891</v>
      </c>
      <c r="T522" t="s">
        <v>42</v>
      </c>
      <c r="U522" t="s">
        <v>892</v>
      </c>
      <c r="V522" t="s">
        <v>893</v>
      </c>
      <c r="W522" s="8" t="s">
        <v>50</v>
      </c>
      <c r="X522" s="15" t="s">
        <v>895</v>
      </c>
      <c r="Y522" s="8">
        <v>0</v>
      </c>
      <c r="Z522">
        <v>0</v>
      </c>
      <c r="AA522">
        <v>19</v>
      </c>
      <c r="AB522">
        <v>0</v>
      </c>
      <c r="AC522" s="5">
        <v>2018</v>
      </c>
      <c r="AD522" s="1">
        <v>2019</v>
      </c>
      <c r="AE522" s="6" t="s">
        <v>72</v>
      </c>
      <c r="AF522">
        <v>1</v>
      </c>
      <c r="AG522" t="s">
        <v>64</v>
      </c>
      <c r="AH522" s="1" t="s">
        <v>64</v>
      </c>
    </row>
    <row r="523" spans="1:34" ht="15" customHeight="1">
      <c r="A523" t="s">
        <v>889</v>
      </c>
      <c r="B523" t="s">
        <v>890</v>
      </c>
      <c r="C523" s="1">
        <v>9</v>
      </c>
      <c r="D523" t="s">
        <v>502</v>
      </c>
      <c r="E523" t="s">
        <v>397</v>
      </c>
      <c r="F523" t="s">
        <v>39</v>
      </c>
      <c r="G523" t="s">
        <v>40</v>
      </c>
      <c r="H523" t="s">
        <v>444</v>
      </c>
      <c r="I523" t="s">
        <v>427</v>
      </c>
      <c r="J523" t="s">
        <v>42</v>
      </c>
      <c r="K523" t="s">
        <v>42</v>
      </c>
      <c r="L523" t="s">
        <v>42</v>
      </c>
      <c r="M523" s="1" t="s">
        <v>42</v>
      </c>
      <c r="N523" s="39" t="s">
        <v>402</v>
      </c>
      <c r="O523" t="s">
        <v>44</v>
      </c>
      <c r="P523" s="39" t="s">
        <v>132</v>
      </c>
      <c r="Q523" t="s">
        <v>108</v>
      </c>
      <c r="R523" t="s">
        <v>109</v>
      </c>
      <c r="S523" t="s">
        <v>181</v>
      </c>
      <c r="T523" t="s">
        <v>42</v>
      </c>
      <c r="U523" t="s">
        <v>892</v>
      </c>
      <c r="V523" t="s">
        <v>42</v>
      </c>
      <c r="W523" s="8" t="s">
        <v>50</v>
      </c>
      <c r="X523" s="15" t="s">
        <v>895</v>
      </c>
      <c r="Y523" s="8">
        <v>0</v>
      </c>
      <c r="Z523">
        <v>0</v>
      </c>
      <c r="AA523">
        <v>19</v>
      </c>
      <c r="AB523">
        <v>0</v>
      </c>
      <c r="AC523" s="5">
        <v>2018</v>
      </c>
      <c r="AD523" s="1">
        <v>2019</v>
      </c>
      <c r="AE523" s="6" t="s">
        <v>72</v>
      </c>
      <c r="AF523">
        <v>1</v>
      </c>
      <c r="AG523" t="s">
        <v>64</v>
      </c>
      <c r="AH523" s="1" t="s">
        <v>64</v>
      </c>
    </row>
    <row r="524" spans="1:34" s="9" customFormat="1" ht="15" customHeight="1">
      <c r="A524" s="9" t="s">
        <v>889</v>
      </c>
      <c r="B524" s="9" t="s">
        <v>890</v>
      </c>
      <c r="C524" s="10">
        <v>10</v>
      </c>
      <c r="D524" s="9" t="s">
        <v>502</v>
      </c>
      <c r="E524" s="9" t="s">
        <v>397</v>
      </c>
      <c r="F524" s="9" t="s">
        <v>39</v>
      </c>
      <c r="G524" s="9" t="s">
        <v>40</v>
      </c>
      <c r="H524" s="9" t="s">
        <v>444</v>
      </c>
      <c r="I524" t="s">
        <v>427</v>
      </c>
      <c r="J524" s="9" t="s">
        <v>42</v>
      </c>
      <c r="K524" s="9" t="s">
        <v>42</v>
      </c>
      <c r="L524" s="9" t="s">
        <v>42</v>
      </c>
      <c r="M524" s="10" t="s">
        <v>42</v>
      </c>
      <c r="N524" s="40" t="s">
        <v>402</v>
      </c>
      <c r="O524" s="9" t="s">
        <v>44</v>
      </c>
      <c r="P524" s="40" t="s">
        <v>896</v>
      </c>
      <c r="Q524" s="9" t="s">
        <v>108</v>
      </c>
      <c r="R524" s="9" t="s">
        <v>109</v>
      </c>
      <c r="S524" s="9" t="s">
        <v>181</v>
      </c>
      <c r="T524" s="9" t="s">
        <v>42</v>
      </c>
      <c r="U524" s="9" t="s">
        <v>892</v>
      </c>
      <c r="V524" s="9" t="s">
        <v>42</v>
      </c>
      <c r="W524" s="11" t="s">
        <v>50</v>
      </c>
      <c r="X524" s="17" t="s">
        <v>895</v>
      </c>
      <c r="Y524" s="11">
        <v>0</v>
      </c>
      <c r="Z524" s="9">
        <v>0</v>
      </c>
      <c r="AA524" s="9">
        <v>19</v>
      </c>
      <c r="AB524" s="9">
        <v>0</v>
      </c>
      <c r="AC524" s="12">
        <v>2018</v>
      </c>
      <c r="AD524" s="10">
        <v>2019</v>
      </c>
      <c r="AE524" s="13" t="s">
        <v>72</v>
      </c>
      <c r="AF524" s="9">
        <v>1</v>
      </c>
      <c r="AG524" s="9" t="s">
        <v>64</v>
      </c>
      <c r="AH524" s="10" t="s">
        <v>64</v>
      </c>
    </row>
    <row r="525" spans="1:34" ht="15" customHeight="1">
      <c r="A525" t="s">
        <v>897</v>
      </c>
      <c r="B525" t="s">
        <v>898</v>
      </c>
      <c r="C525" s="1">
        <v>1</v>
      </c>
      <c r="D525" t="s">
        <v>426</v>
      </c>
      <c r="E525" t="s">
        <v>426</v>
      </c>
      <c r="F525" t="s">
        <v>39</v>
      </c>
      <c r="G525" t="s">
        <v>40</v>
      </c>
      <c r="H525" t="s">
        <v>428</v>
      </c>
      <c r="I525" t="s">
        <v>42</v>
      </c>
      <c r="J525" t="s">
        <v>42</v>
      </c>
      <c r="K525" t="s">
        <v>42</v>
      </c>
      <c r="L525" t="s">
        <v>42</v>
      </c>
      <c r="M525" t="s">
        <v>42</v>
      </c>
      <c r="N525" s="39" t="s">
        <v>430</v>
      </c>
      <c r="O525" t="s">
        <v>44</v>
      </c>
      <c r="P525" s="39" t="s">
        <v>456</v>
      </c>
      <c r="Q525" t="s">
        <v>42</v>
      </c>
      <c r="R525" t="s">
        <v>42</v>
      </c>
      <c r="S525" t="s">
        <v>899</v>
      </c>
      <c r="T525" t="s">
        <v>42</v>
      </c>
      <c r="U525" t="s">
        <v>900</v>
      </c>
      <c r="V525" t="s">
        <v>42</v>
      </c>
      <c r="W525" s="8" t="s">
        <v>50</v>
      </c>
      <c r="X525" t="s">
        <v>901</v>
      </c>
      <c r="Y525" s="8">
        <v>0</v>
      </c>
      <c r="Z525">
        <v>0</v>
      </c>
      <c r="AA525">
        <v>55</v>
      </c>
      <c r="AB525">
        <v>0</v>
      </c>
      <c r="AC525" s="5">
        <v>2014</v>
      </c>
      <c r="AD525" s="1">
        <v>2014</v>
      </c>
      <c r="AE525" s="6" t="s">
        <v>72</v>
      </c>
      <c r="AF525">
        <v>1</v>
      </c>
      <c r="AG525" t="s">
        <v>64</v>
      </c>
      <c r="AH525" s="1" t="s">
        <v>64</v>
      </c>
    </row>
    <row r="526" spans="1:34" ht="15" customHeight="1">
      <c r="A526" t="s">
        <v>897</v>
      </c>
      <c r="B526" t="s">
        <v>898</v>
      </c>
      <c r="C526" s="1">
        <v>2</v>
      </c>
      <c r="D526" t="s">
        <v>426</v>
      </c>
      <c r="E526" t="s">
        <v>426</v>
      </c>
      <c r="F526" t="s">
        <v>39</v>
      </c>
      <c r="G526" t="s">
        <v>40</v>
      </c>
      <c r="H526" t="s">
        <v>428</v>
      </c>
      <c r="I526" t="s">
        <v>42</v>
      </c>
      <c r="J526" t="s">
        <v>42</v>
      </c>
      <c r="K526" t="s">
        <v>42</v>
      </c>
      <c r="L526" t="s">
        <v>42</v>
      </c>
      <c r="M526" t="s">
        <v>42</v>
      </c>
      <c r="N526" s="39" t="s">
        <v>430</v>
      </c>
      <c r="O526" t="s">
        <v>44</v>
      </c>
      <c r="P526" s="39" t="s">
        <v>493</v>
      </c>
      <c r="Q526" t="s">
        <v>42</v>
      </c>
      <c r="R526" t="s">
        <v>42</v>
      </c>
      <c r="S526" t="s">
        <v>899</v>
      </c>
      <c r="T526" t="s">
        <v>42</v>
      </c>
      <c r="U526" t="s">
        <v>900</v>
      </c>
      <c r="V526" t="s">
        <v>42</v>
      </c>
      <c r="W526" s="8" t="s">
        <v>50</v>
      </c>
      <c r="X526" t="s">
        <v>901</v>
      </c>
      <c r="Y526" s="8">
        <v>0</v>
      </c>
      <c r="Z526">
        <v>0</v>
      </c>
      <c r="AA526">
        <v>55</v>
      </c>
      <c r="AB526">
        <v>0</v>
      </c>
      <c r="AC526" s="5">
        <v>2014</v>
      </c>
      <c r="AD526" s="1">
        <v>2014</v>
      </c>
      <c r="AE526" s="6" t="s">
        <v>72</v>
      </c>
      <c r="AF526">
        <v>1</v>
      </c>
      <c r="AG526" t="s">
        <v>64</v>
      </c>
      <c r="AH526" s="1" t="s">
        <v>64</v>
      </c>
    </row>
    <row r="527" spans="1:34" ht="15" customHeight="1">
      <c r="A527" t="s">
        <v>897</v>
      </c>
      <c r="B527" t="s">
        <v>898</v>
      </c>
      <c r="C527" s="1">
        <v>3</v>
      </c>
      <c r="D527" t="s">
        <v>426</v>
      </c>
      <c r="E527" t="s">
        <v>426</v>
      </c>
      <c r="F527" t="s">
        <v>39</v>
      </c>
      <c r="G527" t="s">
        <v>40</v>
      </c>
      <c r="H527" t="s">
        <v>428</v>
      </c>
      <c r="I527" t="s">
        <v>42</v>
      </c>
      <c r="J527" t="s">
        <v>42</v>
      </c>
      <c r="K527" t="s">
        <v>42</v>
      </c>
      <c r="L527" t="s">
        <v>42</v>
      </c>
      <c r="M527" t="s">
        <v>42</v>
      </c>
      <c r="N527" s="39" t="s">
        <v>430</v>
      </c>
      <c r="O527" t="s">
        <v>44</v>
      </c>
      <c r="P527" s="39" t="s">
        <v>431</v>
      </c>
      <c r="Q527" t="s">
        <v>42</v>
      </c>
      <c r="R527" t="s">
        <v>42</v>
      </c>
      <c r="S527" t="s">
        <v>899</v>
      </c>
      <c r="T527" t="s">
        <v>42</v>
      </c>
      <c r="U527" t="s">
        <v>900</v>
      </c>
      <c r="V527" t="s">
        <v>42</v>
      </c>
      <c r="W527" s="8" t="s">
        <v>50</v>
      </c>
      <c r="X527" t="s">
        <v>901</v>
      </c>
      <c r="Y527" s="8">
        <v>0</v>
      </c>
      <c r="Z527">
        <v>0</v>
      </c>
      <c r="AA527">
        <v>55</v>
      </c>
      <c r="AB527">
        <v>0</v>
      </c>
      <c r="AC527" s="5">
        <v>2014</v>
      </c>
      <c r="AD527" s="1">
        <v>2014</v>
      </c>
      <c r="AE527" s="6" t="s">
        <v>72</v>
      </c>
      <c r="AF527">
        <v>1</v>
      </c>
      <c r="AG527" t="s">
        <v>64</v>
      </c>
      <c r="AH527" s="1" t="s">
        <v>64</v>
      </c>
    </row>
    <row r="528" spans="1:34" ht="15" customHeight="1">
      <c r="A528" t="s">
        <v>897</v>
      </c>
      <c r="B528" t="s">
        <v>898</v>
      </c>
      <c r="C528" s="1">
        <v>4</v>
      </c>
      <c r="D528" t="s">
        <v>426</v>
      </c>
      <c r="E528" t="s">
        <v>426</v>
      </c>
      <c r="F528" t="s">
        <v>39</v>
      </c>
      <c r="G528" t="s">
        <v>40</v>
      </c>
      <c r="H528" t="s">
        <v>428</v>
      </c>
      <c r="I528" t="s">
        <v>42</v>
      </c>
      <c r="J528" t="s">
        <v>42</v>
      </c>
      <c r="K528" t="s">
        <v>42</v>
      </c>
      <c r="L528" t="s">
        <v>42</v>
      </c>
      <c r="M528" t="s">
        <v>42</v>
      </c>
      <c r="N528" s="39" t="s">
        <v>430</v>
      </c>
      <c r="O528" t="s">
        <v>44</v>
      </c>
      <c r="P528" s="39" t="s">
        <v>435</v>
      </c>
      <c r="Q528" t="s">
        <v>42</v>
      </c>
      <c r="R528" t="s">
        <v>42</v>
      </c>
      <c r="S528" t="s">
        <v>899</v>
      </c>
      <c r="T528" t="s">
        <v>42</v>
      </c>
      <c r="U528" t="s">
        <v>900</v>
      </c>
      <c r="V528" t="s">
        <v>42</v>
      </c>
      <c r="W528" s="8" t="s">
        <v>50</v>
      </c>
      <c r="X528" t="s">
        <v>901</v>
      </c>
      <c r="Y528" s="8">
        <v>0</v>
      </c>
      <c r="Z528">
        <v>0</v>
      </c>
      <c r="AA528">
        <v>55</v>
      </c>
      <c r="AB528">
        <v>0</v>
      </c>
      <c r="AC528" s="5">
        <v>2014</v>
      </c>
      <c r="AD528" s="1">
        <v>2014</v>
      </c>
      <c r="AE528" s="6" t="s">
        <v>72</v>
      </c>
      <c r="AF528">
        <v>1</v>
      </c>
      <c r="AG528" t="s">
        <v>64</v>
      </c>
      <c r="AH528" s="1" t="s">
        <v>64</v>
      </c>
    </row>
    <row r="529" spans="1:34" s="9" customFormat="1" ht="15" customHeight="1">
      <c r="A529" s="9" t="s">
        <v>897</v>
      </c>
      <c r="B529" s="9" t="s">
        <v>898</v>
      </c>
      <c r="C529" s="10">
        <v>5</v>
      </c>
      <c r="D529" s="9" t="s">
        <v>426</v>
      </c>
      <c r="E529" s="9" t="s">
        <v>426</v>
      </c>
      <c r="F529" s="9" t="s">
        <v>39</v>
      </c>
      <c r="G529" s="9" t="s">
        <v>40</v>
      </c>
      <c r="H529" s="9" t="s">
        <v>428</v>
      </c>
      <c r="I529" s="9" t="s">
        <v>42</v>
      </c>
      <c r="J529" s="9" t="s">
        <v>42</v>
      </c>
      <c r="K529" s="9" t="s">
        <v>42</v>
      </c>
      <c r="L529" s="9" t="s">
        <v>42</v>
      </c>
      <c r="M529" s="9" t="s">
        <v>42</v>
      </c>
      <c r="N529" s="40" t="s">
        <v>430</v>
      </c>
      <c r="O529" s="9" t="s">
        <v>44</v>
      </c>
      <c r="P529" s="40" t="s">
        <v>434</v>
      </c>
      <c r="Q529" s="9" t="s">
        <v>42</v>
      </c>
      <c r="R529" s="9" t="s">
        <v>42</v>
      </c>
      <c r="S529" s="9" t="s">
        <v>899</v>
      </c>
      <c r="T529" s="9" t="s">
        <v>42</v>
      </c>
      <c r="U529" s="9" t="s">
        <v>900</v>
      </c>
      <c r="V529" s="9" t="s">
        <v>42</v>
      </c>
      <c r="W529" s="11" t="s">
        <v>50</v>
      </c>
      <c r="X529" s="9" t="s">
        <v>901</v>
      </c>
      <c r="Y529" s="11">
        <v>0</v>
      </c>
      <c r="Z529" s="9">
        <v>0</v>
      </c>
      <c r="AA529" s="9">
        <v>55</v>
      </c>
      <c r="AB529" s="9">
        <v>0</v>
      </c>
      <c r="AC529" s="12">
        <v>2014</v>
      </c>
      <c r="AD529" s="10">
        <v>2014</v>
      </c>
      <c r="AE529" s="13" t="s">
        <v>72</v>
      </c>
      <c r="AF529" s="9">
        <v>1</v>
      </c>
      <c r="AG529" s="9" t="s">
        <v>64</v>
      </c>
      <c r="AH529" s="10" t="s">
        <v>64</v>
      </c>
    </row>
    <row r="530" spans="1:34" ht="15" customHeight="1">
      <c r="A530" t="s">
        <v>902</v>
      </c>
      <c r="B530" s="15" t="s">
        <v>903</v>
      </c>
      <c r="C530" s="1">
        <v>1</v>
      </c>
      <c r="D530" t="s">
        <v>38</v>
      </c>
      <c r="E530" t="s">
        <v>38</v>
      </c>
      <c r="F530" t="s">
        <v>39</v>
      </c>
      <c r="G530" t="s">
        <v>40</v>
      </c>
      <c r="H530" t="s">
        <v>91</v>
      </c>
      <c r="I530" t="s">
        <v>42</v>
      </c>
      <c r="J530" t="s">
        <v>42</v>
      </c>
      <c r="K530" t="s">
        <v>42</v>
      </c>
      <c r="L530" t="s">
        <v>42</v>
      </c>
      <c r="M530" s="1" t="s">
        <v>42</v>
      </c>
      <c r="N530" s="39" t="s">
        <v>132</v>
      </c>
      <c r="O530" t="s">
        <v>86</v>
      </c>
      <c r="P530" s="39" t="s">
        <v>887</v>
      </c>
      <c r="Q530" t="s">
        <v>383</v>
      </c>
      <c r="R530" t="s">
        <v>42</v>
      </c>
      <c r="S530" t="s">
        <v>384</v>
      </c>
      <c r="T530" t="s">
        <v>42</v>
      </c>
      <c r="U530" t="s">
        <v>42</v>
      </c>
      <c r="V530" t="s">
        <v>42</v>
      </c>
      <c r="W530" s="8" t="s">
        <v>64</v>
      </c>
      <c r="X530" t="s">
        <v>42</v>
      </c>
      <c r="Y530" s="8">
        <v>1</v>
      </c>
      <c r="Z530">
        <v>0</v>
      </c>
      <c r="AA530">
        <v>0</v>
      </c>
      <c r="AB530">
        <v>0</v>
      </c>
      <c r="AC530" s="5">
        <v>1999</v>
      </c>
      <c r="AD530" s="1">
        <v>1999</v>
      </c>
      <c r="AE530" s="6" t="s">
        <v>72</v>
      </c>
      <c r="AF530">
        <v>18</v>
      </c>
      <c r="AG530" t="s">
        <v>64</v>
      </c>
      <c r="AH530" s="1" t="s">
        <v>64</v>
      </c>
    </row>
    <row r="531" spans="1:34" ht="15" customHeight="1">
      <c r="A531" t="s">
        <v>902</v>
      </c>
      <c r="B531" s="15" t="s">
        <v>903</v>
      </c>
      <c r="C531" s="1">
        <v>2</v>
      </c>
      <c r="D531" t="s">
        <v>38</v>
      </c>
      <c r="E531" t="s">
        <v>38</v>
      </c>
      <c r="F531" t="s">
        <v>39</v>
      </c>
      <c r="G531" t="s">
        <v>40</v>
      </c>
      <c r="H531" t="s">
        <v>91</v>
      </c>
      <c r="I531" t="s">
        <v>42</v>
      </c>
      <c r="J531" t="s">
        <v>42</v>
      </c>
      <c r="K531" t="s">
        <v>42</v>
      </c>
      <c r="L531" t="s">
        <v>42</v>
      </c>
      <c r="M531" s="1" t="s">
        <v>42</v>
      </c>
      <c r="N531" s="39" t="s">
        <v>132</v>
      </c>
      <c r="O531" t="s">
        <v>86</v>
      </c>
      <c r="P531" s="39" t="s">
        <v>386</v>
      </c>
      <c r="Q531" t="s">
        <v>383</v>
      </c>
      <c r="R531" t="s">
        <v>42</v>
      </c>
      <c r="S531" t="s">
        <v>387</v>
      </c>
      <c r="T531" t="s">
        <v>42</v>
      </c>
      <c r="U531" t="s">
        <v>42</v>
      </c>
      <c r="V531" t="s">
        <v>42</v>
      </c>
      <c r="W531" s="8" t="s">
        <v>64</v>
      </c>
      <c r="X531" t="s">
        <v>42</v>
      </c>
      <c r="Y531" s="8">
        <v>1</v>
      </c>
      <c r="Z531">
        <v>0</v>
      </c>
      <c r="AA531">
        <v>0</v>
      </c>
      <c r="AB531">
        <v>0</v>
      </c>
      <c r="AC531" s="5">
        <v>1999</v>
      </c>
      <c r="AD531" s="1">
        <v>1999</v>
      </c>
      <c r="AE531" s="6" t="s">
        <v>72</v>
      </c>
      <c r="AF531">
        <v>18</v>
      </c>
      <c r="AG531" t="s">
        <v>64</v>
      </c>
      <c r="AH531" s="1" t="s">
        <v>64</v>
      </c>
    </row>
    <row r="532" spans="1:34" ht="15" customHeight="1">
      <c r="A532" t="s">
        <v>902</v>
      </c>
      <c r="B532" s="15" t="s">
        <v>903</v>
      </c>
      <c r="C532" s="1">
        <v>3</v>
      </c>
      <c r="D532" t="s">
        <v>38</v>
      </c>
      <c r="E532" t="s">
        <v>38</v>
      </c>
      <c r="F532" t="s">
        <v>39</v>
      </c>
      <c r="G532" t="s">
        <v>40</v>
      </c>
      <c r="H532" t="s">
        <v>91</v>
      </c>
      <c r="I532" t="s">
        <v>42</v>
      </c>
      <c r="J532" t="s">
        <v>42</v>
      </c>
      <c r="K532" t="s">
        <v>353</v>
      </c>
      <c r="L532" t="s">
        <v>42</v>
      </c>
      <c r="M532" s="1" t="s">
        <v>42</v>
      </c>
      <c r="N532" s="39" t="s">
        <v>43</v>
      </c>
      <c r="O532" t="s">
        <v>44</v>
      </c>
      <c r="P532" s="39" t="s">
        <v>904</v>
      </c>
      <c r="Q532" t="s">
        <v>254</v>
      </c>
      <c r="R532" t="s">
        <v>255</v>
      </c>
      <c r="S532" t="s">
        <v>885</v>
      </c>
      <c r="T532" t="s">
        <v>905</v>
      </c>
      <c r="U532" t="s">
        <v>42</v>
      </c>
      <c r="V532" t="s">
        <v>42</v>
      </c>
      <c r="W532" s="8" t="s">
        <v>50</v>
      </c>
      <c r="X532" t="s">
        <v>906</v>
      </c>
      <c r="Y532" s="8">
        <v>1</v>
      </c>
      <c r="Z532">
        <v>4</v>
      </c>
      <c r="AA532">
        <v>0</v>
      </c>
      <c r="AB532">
        <v>0</v>
      </c>
      <c r="AC532" s="5">
        <v>1999</v>
      </c>
      <c r="AD532" s="1">
        <v>1999</v>
      </c>
      <c r="AE532" s="6" t="s">
        <v>72</v>
      </c>
      <c r="AF532">
        <v>318</v>
      </c>
      <c r="AG532" t="s">
        <v>64</v>
      </c>
      <c r="AH532" s="1" t="s">
        <v>64</v>
      </c>
    </row>
    <row r="533" spans="1:34" ht="15" customHeight="1">
      <c r="A533" t="s">
        <v>902</v>
      </c>
      <c r="B533" s="15" t="s">
        <v>903</v>
      </c>
      <c r="C533" s="1">
        <v>4</v>
      </c>
      <c r="D533" t="s">
        <v>38</v>
      </c>
      <c r="E533" t="s">
        <v>38</v>
      </c>
      <c r="F533" t="s">
        <v>39</v>
      </c>
      <c r="G533" t="s">
        <v>40</v>
      </c>
      <c r="H533" t="s">
        <v>91</v>
      </c>
      <c r="I533" t="s">
        <v>42</v>
      </c>
      <c r="J533" t="s">
        <v>42</v>
      </c>
      <c r="K533" t="s">
        <v>353</v>
      </c>
      <c r="L533" t="s">
        <v>42</v>
      </c>
      <c r="M533" s="1" t="s">
        <v>42</v>
      </c>
      <c r="N533" s="39" t="s">
        <v>43</v>
      </c>
      <c r="O533" t="s">
        <v>86</v>
      </c>
      <c r="P533" s="39" t="s">
        <v>907</v>
      </c>
      <c r="Q533" t="s">
        <v>254</v>
      </c>
      <c r="R533" t="s">
        <v>255</v>
      </c>
      <c r="S533" t="s">
        <v>908</v>
      </c>
      <c r="T533" t="s">
        <v>42</v>
      </c>
      <c r="U533" t="s">
        <v>42</v>
      </c>
      <c r="V533" t="s">
        <v>42</v>
      </c>
      <c r="W533" s="8" t="s">
        <v>50</v>
      </c>
      <c r="X533" t="s">
        <v>42</v>
      </c>
      <c r="Y533" s="8">
        <v>1</v>
      </c>
      <c r="Z533">
        <v>4</v>
      </c>
      <c r="AA533">
        <v>0</v>
      </c>
      <c r="AB533">
        <v>0</v>
      </c>
      <c r="AC533" s="5">
        <v>1999</v>
      </c>
      <c r="AD533" s="1">
        <v>1999</v>
      </c>
      <c r="AE533" s="6" t="s">
        <v>72</v>
      </c>
      <c r="AF533">
        <v>318</v>
      </c>
      <c r="AG533" t="s">
        <v>64</v>
      </c>
      <c r="AH533" s="1" t="s">
        <v>64</v>
      </c>
    </row>
    <row r="534" spans="1:34" s="9" customFormat="1" ht="15" customHeight="1">
      <c r="A534" s="9" t="s">
        <v>902</v>
      </c>
      <c r="B534" s="17" t="s">
        <v>903</v>
      </c>
      <c r="C534" s="10">
        <v>5</v>
      </c>
      <c r="D534" s="9" t="s">
        <v>38</v>
      </c>
      <c r="E534" s="9" t="s">
        <v>38</v>
      </c>
      <c r="F534" s="9" t="s">
        <v>39</v>
      </c>
      <c r="G534" s="9" t="s">
        <v>40</v>
      </c>
      <c r="H534" s="9" t="s">
        <v>91</v>
      </c>
      <c r="I534" s="9" t="s">
        <v>42</v>
      </c>
      <c r="J534" s="9" t="s">
        <v>42</v>
      </c>
      <c r="K534" s="9" t="s">
        <v>42</v>
      </c>
      <c r="L534" s="9" t="s">
        <v>42</v>
      </c>
      <c r="M534" s="10" t="s">
        <v>42</v>
      </c>
      <c r="N534" s="40" t="s">
        <v>43</v>
      </c>
      <c r="O534" s="9" t="s">
        <v>44</v>
      </c>
      <c r="P534" s="40" t="s">
        <v>377</v>
      </c>
      <c r="Q534" s="9" t="s">
        <v>254</v>
      </c>
      <c r="R534" s="9" t="s">
        <v>255</v>
      </c>
      <c r="S534" s="9" t="s">
        <v>136</v>
      </c>
      <c r="T534" s="9" t="s">
        <v>42</v>
      </c>
      <c r="U534" s="9" t="s">
        <v>42</v>
      </c>
      <c r="V534" s="9" t="s">
        <v>42</v>
      </c>
      <c r="W534" s="11" t="s">
        <v>50</v>
      </c>
      <c r="X534" s="9" t="s">
        <v>906</v>
      </c>
      <c r="Y534" s="11">
        <v>1</v>
      </c>
      <c r="Z534" s="9">
        <v>0</v>
      </c>
      <c r="AA534" s="9">
        <v>0</v>
      </c>
      <c r="AB534" s="9">
        <v>0</v>
      </c>
      <c r="AC534" s="12">
        <v>1999</v>
      </c>
      <c r="AD534" s="10">
        <v>1999</v>
      </c>
      <c r="AE534" s="13" t="s">
        <v>72</v>
      </c>
      <c r="AF534" s="9">
        <v>318</v>
      </c>
      <c r="AG534" s="9" t="s">
        <v>64</v>
      </c>
      <c r="AH534" s="10" t="s">
        <v>64</v>
      </c>
    </row>
    <row r="535" spans="1:34" ht="15" customHeight="1">
      <c r="A535" t="s">
        <v>909</v>
      </c>
      <c r="B535" t="s">
        <v>910</v>
      </c>
      <c r="C535" s="1">
        <v>1</v>
      </c>
      <c r="D535" t="s">
        <v>426</v>
      </c>
      <c r="E535" t="s">
        <v>426</v>
      </c>
      <c r="F535" t="s">
        <v>123</v>
      </c>
      <c r="G535" t="s">
        <v>184</v>
      </c>
      <c r="H535" t="s">
        <v>427</v>
      </c>
      <c r="I535" t="s">
        <v>42</v>
      </c>
      <c r="J535" t="s">
        <v>42</v>
      </c>
      <c r="K535" t="s">
        <v>353</v>
      </c>
      <c r="L535" t="s">
        <v>911</v>
      </c>
      <c r="M535" s="1" t="s">
        <v>42</v>
      </c>
      <c r="N535" s="39" t="s">
        <v>430</v>
      </c>
      <c r="O535" t="s">
        <v>187</v>
      </c>
      <c r="P535" s="39" t="s">
        <v>456</v>
      </c>
      <c r="Q535" t="s">
        <v>42</v>
      </c>
      <c r="R535" t="s">
        <v>42</v>
      </c>
      <c r="S535" t="s">
        <v>42</v>
      </c>
      <c r="T535" t="s">
        <v>42</v>
      </c>
      <c r="U535" t="s">
        <v>912</v>
      </c>
      <c r="V535" t="s">
        <v>913</v>
      </c>
      <c r="W535" s="8" t="s">
        <v>64</v>
      </c>
      <c r="X535" t="s">
        <v>42</v>
      </c>
      <c r="Y535" s="8">
        <v>0</v>
      </c>
      <c r="Z535">
        <v>0</v>
      </c>
      <c r="AA535">
        <v>14</v>
      </c>
      <c r="AB535">
        <v>0</v>
      </c>
      <c r="AC535" s="5">
        <v>2019</v>
      </c>
      <c r="AD535" s="1">
        <v>2022</v>
      </c>
      <c r="AE535" s="6">
        <f>AD535-AC535</f>
        <v>3</v>
      </c>
      <c r="AF535">
        <v>1</v>
      </c>
      <c r="AG535" t="s">
        <v>64</v>
      </c>
      <c r="AH535" s="1" t="s">
        <v>64</v>
      </c>
    </row>
    <row r="536" spans="1:34" ht="15" customHeight="1">
      <c r="A536" t="s">
        <v>909</v>
      </c>
      <c r="B536" t="s">
        <v>910</v>
      </c>
      <c r="C536" s="1">
        <v>2</v>
      </c>
      <c r="D536" t="s">
        <v>426</v>
      </c>
      <c r="E536" t="s">
        <v>426</v>
      </c>
      <c r="F536" t="s">
        <v>123</v>
      </c>
      <c r="G536" t="s">
        <v>184</v>
      </c>
      <c r="H536" t="s">
        <v>427</v>
      </c>
      <c r="I536" t="s">
        <v>42</v>
      </c>
      <c r="J536" t="s">
        <v>42</v>
      </c>
      <c r="K536" t="s">
        <v>353</v>
      </c>
      <c r="L536" t="s">
        <v>911</v>
      </c>
      <c r="M536" s="1" t="s">
        <v>42</v>
      </c>
      <c r="N536" s="39" t="s">
        <v>430</v>
      </c>
      <c r="O536" t="s">
        <v>187</v>
      </c>
      <c r="P536" s="39" t="s">
        <v>431</v>
      </c>
      <c r="Q536" t="s">
        <v>42</v>
      </c>
      <c r="R536" t="s">
        <v>42</v>
      </c>
      <c r="S536" t="s">
        <v>42</v>
      </c>
      <c r="T536" t="s">
        <v>42</v>
      </c>
      <c r="U536" t="s">
        <v>912</v>
      </c>
      <c r="V536" t="s">
        <v>913</v>
      </c>
      <c r="W536" s="8" t="s">
        <v>64</v>
      </c>
      <c r="X536" t="s">
        <v>42</v>
      </c>
      <c r="Y536" s="8">
        <v>0</v>
      </c>
      <c r="Z536">
        <v>0</v>
      </c>
      <c r="AA536">
        <v>14</v>
      </c>
      <c r="AB536">
        <v>0</v>
      </c>
      <c r="AC536" s="5">
        <v>2019</v>
      </c>
      <c r="AD536" s="1">
        <v>2022</v>
      </c>
      <c r="AE536" s="6">
        <f>AD536-AC536</f>
        <v>3</v>
      </c>
      <c r="AF536">
        <v>1</v>
      </c>
      <c r="AG536" t="s">
        <v>64</v>
      </c>
      <c r="AH536" s="1" t="s">
        <v>64</v>
      </c>
    </row>
    <row r="537" spans="1:34" s="9" customFormat="1" ht="15" customHeight="1">
      <c r="A537" s="9" t="s">
        <v>909</v>
      </c>
      <c r="B537" s="9" t="s">
        <v>910</v>
      </c>
      <c r="C537" s="10">
        <v>3</v>
      </c>
      <c r="D537" s="9" t="s">
        <v>426</v>
      </c>
      <c r="E537" s="9" t="s">
        <v>426</v>
      </c>
      <c r="F537" s="9" t="s">
        <v>123</v>
      </c>
      <c r="G537" s="9" t="s">
        <v>184</v>
      </c>
      <c r="H537" s="9" t="s">
        <v>427</v>
      </c>
      <c r="I537" s="9" t="s">
        <v>42</v>
      </c>
      <c r="J537" s="9" t="s">
        <v>42</v>
      </c>
      <c r="K537" s="9" t="s">
        <v>353</v>
      </c>
      <c r="L537" s="9" t="s">
        <v>911</v>
      </c>
      <c r="M537" s="10" t="s">
        <v>42</v>
      </c>
      <c r="N537" s="40" t="s">
        <v>430</v>
      </c>
      <c r="O537" s="9" t="s">
        <v>187</v>
      </c>
      <c r="P537" s="40" t="s">
        <v>459</v>
      </c>
      <c r="Q537" s="9" t="s">
        <v>42</v>
      </c>
      <c r="R537" s="9" t="s">
        <v>42</v>
      </c>
      <c r="S537" s="9" t="s">
        <v>42</v>
      </c>
      <c r="T537" s="9" t="s">
        <v>42</v>
      </c>
      <c r="U537" s="9" t="s">
        <v>912</v>
      </c>
      <c r="V537" s="9" t="s">
        <v>913</v>
      </c>
      <c r="W537" s="11" t="s">
        <v>64</v>
      </c>
      <c r="X537" s="9" t="s">
        <v>42</v>
      </c>
      <c r="Y537" s="11">
        <v>0</v>
      </c>
      <c r="Z537" s="9">
        <v>0</v>
      </c>
      <c r="AA537" s="9">
        <v>14</v>
      </c>
      <c r="AB537" s="9">
        <v>0</v>
      </c>
      <c r="AC537" s="12">
        <v>2019</v>
      </c>
      <c r="AD537" s="10">
        <v>2022</v>
      </c>
      <c r="AE537" s="13">
        <f>AD537-AC537</f>
        <v>3</v>
      </c>
      <c r="AF537" s="9">
        <v>1</v>
      </c>
      <c r="AG537" s="9" t="s">
        <v>64</v>
      </c>
      <c r="AH537" s="10" t="s">
        <v>64</v>
      </c>
    </row>
    <row r="538" spans="1:34" ht="15" customHeight="1">
      <c r="A538" t="s">
        <v>914</v>
      </c>
      <c r="B538" t="s">
        <v>915</v>
      </c>
      <c r="C538" s="1">
        <v>1</v>
      </c>
      <c r="D538" t="s">
        <v>426</v>
      </c>
      <c r="E538" t="s">
        <v>426</v>
      </c>
      <c r="F538" t="s">
        <v>39</v>
      </c>
      <c r="G538" t="s">
        <v>40</v>
      </c>
      <c r="H538" t="s">
        <v>467</v>
      </c>
      <c r="I538" t="s">
        <v>444</v>
      </c>
      <c r="J538" t="s">
        <v>503</v>
      </c>
      <c r="K538" t="s">
        <v>42</v>
      </c>
      <c r="L538" t="s">
        <v>42</v>
      </c>
      <c r="M538" t="s">
        <v>42</v>
      </c>
      <c r="N538" s="39" t="s">
        <v>430</v>
      </c>
      <c r="O538" t="s">
        <v>44</v>
      </c>
      <c r="P538" s="39" t="s">
        <v>436</v>
      </c>
      <c r="Q538" t="s">
        <v>42</v>
      </c>
      <c r="R538" t="s">
        <v>42</v>
      </c>
      <c r="S538" t="s">
        <v>916</v>
      </c>
      <c r="T538" t="s">
        <v>457</v>
      </c>
      <c r="U538" t="s">
        <v>519</v>
      </c>
      <c r="V538" t="s">
        <v>42</v>
      </c>
      <c r="W538" s="8" t="s">
        <v>50</v>
      </c>
      <c r="X538" t="s">
        <v>917</v>
      </c>
      <c r="Y538" s="8">
        <v>0</v>
      </c>
      <c r="Z538">
        <v>0</v>
      </c>
      <c r="AA538">
        <v>6</v>
      </c>
      <c r="AB538">
        <v>0</v>
      </c>
      <c r="AC538" s="5">
        <v>2002</v>
      </c>
      <c r="AD538" s="1">
        <v>2003</v>
      </c>
      <c r="AE538" s="6" t="s">
        <v>72</v>
      </c>
      <c r="AF538">
        <v>1</v>
      </c>
      <c r="AG538" t="s">
        <v>64</v>
      </c>
      <c r="AH538" s="1" t="s">
        <v>64</v>
      </c>
    </row>
    <row r="539" spans="1:34" ht="15" customHeight="1">
      <c r="A539" t="s">
        <v>914</v>
      </c>
      <c r="B539" t="s">
        <v>915</v>
      </c>
      <c r="C539" s="1">
        <v>2</v>
      </c>
      <c r="D539" t="s">
        <v>426</v>
      </c>
      <c r="E539" t="s">
        <v>426</v>
      </c>
      <c r="F539" t="s">
        <v>39</v>
      </c>
      <c r="G539" t="s">
        <v>40</v>
      </c>
      <c r="H539" t="s">
        <v>467</v>
      </c>
      <c r="I539" t="s">
        <v>444</v>
      </c>
      <c r="J539" t="s">
        <v>503</v>
      </c>
      <c r="K539" t="s">
        <v>42</v>
      </c>
      <c r="L539" t="s">
        <v>42</v>
      </c>
      <c r="M539" t="s">
        <v>42</v>
      </c>
      <c r="N539" s="39" t="s">
        <v>430</v>
      </c>
      <c r="O539" t="s">
        <v>44</v>
      </c>
      <c r="P539" s="39" t="s">
        <v>435</v>
      </c>
      <c r="Q539" t="s">
        <v>42</v>
      </c>
      <c r="R539" t="s">
        <v>42</v>
      </c>
      <c r="S539" t="s">
        <v>916</v>
      </c>
      <c r="T539" t="s">
        <v>457</v>
      </c>
      <c r="U539" t="s">
        <v>519</v>
      </c>
      <c r="V539" t="s">
        <v>42</v>
      </c>
      <c r="W539" s="8" t="s">
        <v>50</v>
      </c>
      <c r="X539" t="s">
        <v>917</v>
      </c>
      <c r="Y539" s="8">
        <v>0</v>
      </c>
      <c r="Z539">
        <v>0</v>
      </c>
      <c r="AA539">
        <v>6</v>
      </c>
      <c r="AB539">
        <v>0</v>
      </c>
      <c r="AC539" s="5">
        <v>2002</v>
      </c>
      <c r="AD539" s="1">
        <v>2003</v>
      </c>
      <c r="AE539" s="6" t="s">
        <v>72</v>
      </c>
      <c r="AF539">
        <v>1</v>
      </c>
      <c r="AG539" t="s">
        <v>64</v>
      </c>
      <c r="AH539" s="1" t="s">
        <v>64</v>
      </c>
    </row>
    <row r="540" spans="1:34" ht="15" customHeight="1">
      <c r="A540" t="s">
        <v>914</v>
      </c>
      <c r="B540" t="s">
        <v>915</v>
      </c>
      <c r="C540" s="1">
        <v>3</v>
      </c>
      <c r="D540" t="s">
        <v>426</v>
      </c>
      <c r="E540" t="s">
        <v>426</v>
      </c>
      <c r="F540" t="s">
        <v>39</v>
      </c>
      <c r="G540" t="s">
        <v>40</v>
      </c>
      <c r="H540" t="s">
        <v>467</v>
      </c>
      <c r="I540" t="s">
        <v>444</v>
      </c>
      <c r="J540" t="s">
        <v>503</v>
      </c>
      <c r="K540" t="s">
        <v>42</v>
      </c>
      <c r="L540" t="s">
        <v>42</v>
      </c>
      <c r="M540" t="s">
        <v>42</v>
      </c>
      <c r="N540" s="39" t="s">
        <v>430</v>
      </c>
      <c r="O540" t="s">
        <v>44</v>
      </c>
      <c r="P540" s="39" t="s">
        <v>431</v>
      </c>
      <c r="Q540" t="s">
        <v>42</v>
      </c>
      <c r="R540" t="s">
        <v>42</v>
      </c>
      <c r="S540" t="s">
        <v>916</v>
      </c>
      <c r="T540" t="s">
        <v>457</v>
      </c>
      <c r="U540" t="s">
        <v>519</v>
      </c>
      <c r="V540" t="s">
        <v>42</v>
      </c>
      <c r="W540" s="8" t="s">
        <v>50</v>
      </c>
      <c r="X540" t="s">
        <v>917</v>
      </c>
      <c r="Y540" s="8">
        <v>0</v>
      </c>
      <c r="Z540">
        <v>0</v>
      </c>
      <c r="AA540">
        <v>6</v>
      </c>
      <c r="AB540">
        <v>0</v>
      </c>
      <c r="AC540" s="5">
        <v>2002</v>
      </c>
      <c r="AD540" s="1">
        <v>2003</v>
      </c>
      <c r="AE540" s="6" t="s">
        <v>72</v>
      </c>
      <c r="AF540">
        <v>1</v>
      </c>
      <c r="AG540" t="s">
        <v>64</v>
      </c>
      <c r="AH540" s="1" t="s">
        <v>64</v>
      </c>
    </row>
    <row r="541" spans="1:34" ht="15" customHeight="1">
      <c r="A541" t="s">
        <v>914</v>
      </c>
      <c r="B541" t="s">
        <v>915</v>
      </c>
      <c r="C541" s="1">
        <v>4</v>
      </c>
      <c r="D541" t="s">
        <v>426</v>
      </c>
      <c r="E541" t="s">
        <v>426</v>
      </c>
      <c r="F541" t="s">
        <v>39</v>
      </c>
      <c r="G541" t="s">
        <v>40</v>
      </c>
      <c r="H541" t="s">
        <v>467</v>
      </c>
      <c r="I541" t="s">
        <v>444</v>
      </c>
      <c r="J541" t="s">
        <v>503</v>
      </c>
      <c r="K541" t="s">
        <v>42</v>
      </c>
      <c r="L541" t="s">
        <v>42</v>
      </c>
      <c r="M541" t="s">
        <v>42</v>
      </c>
      <c r="N541" s="39" t="s">
        <v>430</v>
      </c>
      <c r="O541" t="s">
        <v>44</v>
      </c>
      <c r="P541" s="39" t="s">
        <v>459</v>
      </c>
      <c r="Q541" t="s">
        <v>42</v>
      </c>
      <c r="R541" t="s">
        <v>42</v>
      </c>
      <c r="S541" t="s">
        <v>916</v>
      </c>
      <c r="T541" t="s">
        <v>457</v>
      </c>
      <c r="U541" t="s">
        <v>519</v>
      </c>
      <c r="V541" t="s">
        <v>42</v>
      </c>
      <c r="W541" s="8" t="s">
        <v>50</v>
      </c>
      <c r="X541" t="s">
        <v>917</v>
      </c>
      <c r="Y541" s="8">
        <v>0</v>
      </c>
      <c r="Z541">
        <v>0</v>
      </c>
      <c r="AA541">
        <v>6</v>
      </c>
      <c r="AB541">
        <v>0</v>
      </c>
      <c r="AC541" s="5">
        <v>2002</v>
      </c>
      <c r="AD541" s="1">
        <v>2003</v>
      </c>
      <c r="AE541" s="6" t="s">
        <v>72</v>
      </c>
      <c r="AF541">
        <v>1</v>
      </c>
      <c r="AG541" t="s">
        <v>64</v>
      </c>
      <c r="AH541" s="1" t="s">
        <v>64</v>
      </c>
    </row>
    <row r="542" spans="1:34" ht="15" customHeight="1">
      <c r="A542" t="s">
        <v>914</v>
      </c>
      <c r="B542" t="s">
        <v>915</v>
      </c>
      <c r="C542" s="1">
        <v>5</v>
      </c>
      <c r="D542" t="s">
        <v>426</v>
      </c>
      <c r="E542" t="s">
        <v>426</v>
      </c>
      <c r="F542" t="s">
        <v>39</v>
      </c>
      <c r="G542" t="s">
        <v>40</v>
      </c>
      <c r="H542" t="s">
        <v>467</v>
      </c>
      <c r="I542" t="s">
        <v>444</v>
      </c>
      <c r="J542" t="s">
        <v>503</v>
      </c>
      <c r="K542" t="s">
        <v>42</v>
      </c>
      <c r="L542" t="s">
        <v>42</v>
      </c>
      <c r="M542" t="s">
        <v>42</v>
      </c>
      <c r="N542" s="39" t="s">
        <v>430</v>
      </c>
      <c r="O542" t="s">
        <v>44</v>
      </c>
      <c r="P542" s="39" t="s">
        <v>493</v>
      </c>
      <c r="Q542" t="s">
        <v>42</v>
      </c>
      <c r="R542" t="s">
        <v>42</v>
      </c>
      <c r="S542" t="s">
        <v>916</v>
      </c>
      <c r="T542" t="s">
        <v>457</v>
      </c>
      <c r="U542" t="s">
        <v>519</v>
      </c>
      <c r="V542" t="s">
        <v>42</v>
      </c>
      <c r="W542" s="8" t="s">
        <v>50</v>
      </c>
      <c r="X542" t="s">
        <v>917</v>
      </c>
      <c r="Y542" s="8">
        <v>0</v>
      </c>
      <c r="Z542">
        <v>0</v>
      </c>
      <c r="AA542">
        <v>6</v>
      </c>
      <c r="AB542">
        <v>0</v>
      </c>
      <c r="AC542" s="5">
        <v>2002</v>
      </c>
      <c r="AD542" s="1">
        <v>2003</v>
      </c>
      <c r="AE542" s="6" t="s">
        <v>72</v>
      </c>
      <c r="AF542">
        <v>1</v>
      </c>
      <c r="AG542" t="s">
        <v>64</v>
      </c>
      <c r="AH542" s="1" t="s">
        <v>64</v>
      </c>
    </row>
    <row r="543" spans="1:34" s="9" customFormat="1" ht="15" customHeight="1">
      <c r="A543" s="9" t="s">
        <v>914</v>
      </c>
      <c r="B543" s="9" t="s">
        <v>915</v>
      </c>
      <c r="C543" s="10">
        <v>6</v>
      </c>
      <c r="D543" s="9" t="s">
        <v>426</v>
      </c>
      <c r="E543" s="9" t="s">
        <v>426</v>
      </c>
      <c r="F543" s="9" t="s">
        <v>39</v>
      </c>
      <c r="G543" s="9" t="s">
        <v>40</v>
      </c>
      <c r="H543" s="9" t="s">
        <v>467</v>
      </c>
      <c r="I543" t="s">
        <v>444</v>
      </c>
      <c r="J543" t="s">
        <v>503</v>
      </c>
      <c r="K543" s="9" t="s">
        <v>42</v>
      </c>
      <c r="L543" s="9" t="s">
        <v>42</v>
      </c>
      <c r="M543" s="9" t="s">
        <v>42</v>
      </c>
      <c r="N543" s="40" t="s">
        <v>430</v>
      </c>
      <c r="O543" s="9" t="s">
        <v>44</v>
      </c>
      <c r="P543" s="40" t="s">
        <v>434</v>
      </c>
      <c r="Q543" s="9" t="s">
        <v>42</v>
      </c>
      <c r="R543" s="9" t="s">
        <v>42</v>
      </c>
      <c r="S543" s="9" t="s">
        <v>916</v>
      </c>
      <c r="T543" t="s">
        <v>457</v>
      </c>
      <c r="U543" s="9" t="s">
        <v>519</v>
      </c>
      <c r="V543" s="9" t="s">
        <v>42</v>
      </c>
      <c r="W543" s="11" t="s">
        <v>50</v>
      </c>
      <c r="X543" s="9" t="s">
        <v>917</v>
      </c>
      <c r="Y543" s="11">
        <v>0</v>
      </c>
      <c r="Z543" s="9">
        <v>0</v>
      </c>
      <c r="AA543" s="9">
        <v>6</v>
      </c>
      <c r="AB543" s="9">
        <v>0</v>
      </c>
      <c r="AC543" s="12">
        <v>2002</v>
      </c>
      <c r="AD543" s="10">
        <v>2003</v>
      </c>
      <c r="AE543" s="13" t="s">
        <v>72</v>
      </c>
      <c r="AF543" s="9">
        <v>1</v>
      </c>
      <c r="AG543" s="9" t="s">
        <v>64</v>
      </c>
      <c r="AH543" s="10" t="s">
        <v>64</v>
      </c>
    </row>
    <row r="544" spans="1:34" ht="15" customHeight="1">
      <c r="A544" t="s">
        <v>918</v>
      </c>
      <c r="B544" t="s">
        <v>919</v>
      </c>
      <c r="C544" s="24">
        <v>1</v>
      </c>
      <c r="D544" t="s">
        <v>38</v>
      </c>
      <c r="E544" t="s">
        <v>38</v>
      </c>
      <c r="F544" t="s">
        <v>39</v>
      </c>
      <c r="G544" t="s">
        <v>40</v>
      </c>
      <c r="H544" t="s">
        <v>185</v>
      </c>
      <c r="I544" t="s">
        <v>920</v>
      </c>
      <c r="J544" t="s">
        <v>42</v>
      </c>
      <c r="K544" t="s">
        <v>42</v>
      </c>
      <c r="L544" t="s">
        <v>42</v>
      </c>
      <c r="M544" s="1" t="s">
        <v>42</v>
      </c>
      <c r="N544" s="39" t="s">
        <v>132</v>
      </c>
      <c r="O544" t="s">
        <v>44</v>
      </c>
      <c r="P544" s="39" t="s">
        <v>921</v>
      </c>
      <c r="Q544" t="s">
        <v>922</v>
      </c>
      <c r="R544" t="s">
        <v>923</v>
      </c>
      <c r="S544" t="s">
        <v>924</v>
      </c>
      <c r="T544" t="s">
        <v>42</v>
      </c>
      <c r="U544" t="s">
        <v>42</v>
      </c>
      <c r="V544" t="s">
        <v>42</v>
      </c>
      <c r="W544" s="8" t="s">
        <v>50</v>
      </c>
      <c r="X544" t="s">
        <v>925</v>
      </c>
      <c r="Y544" s="8">
        <v>1</v>
      </c>
      <c r="Z544">
        <v>0</v>
      </c>
      <c r="AA544">
        <v>0</v>
      </c>
      <c r="AB544">
        <v>0</v>
      </c>
      <c r="AC544" s="5">
        <v>2005</v>
      </c>
      <c r="AD544" s="1">
        <v>2008</v>
      </c>
      <c r="AE544" s="6">
        <v>4</v>
      </c>
      <c r="AF544">
        <v>4</v>
      </c>
      <c r="AG544" t="s">
        <v>64</v>
      </c>
      <c r="AH544" s="1" t="s">
        <v>64</v>
      </c>
    </row>
    <row r="545" spans="1:34" ht="15" customHeight="1">
      <c r="A545" t="s">
        <v>918</v>
      </c>
      <c r="B545" t="s">
        <v>919</v>
      </c>
      <c r="C545" s="24">
        <v>2</v>
      </c>
      <c r="D545" t="s">
        <v>38</v>
      </c>
      <c r="E545" t="s">
        <v>38</v>
      </c>
      <c r="F545" t="s">
        <v>39</v>
      </c>
      <c r="G545" t="s">
        <v>40</v>
      </c>
      <c r="H545" t="s">
        <v>185</v>
      </c>
      <c r="I545" t="s">
        <v>920</v>
      </c>
      <c r="J545" t="s">
        <v>42</v>
      </c>
      <c r="K545" t="s">
        <v>42</v>
      </c>
      <c r="L545" t="s">
        <v>42</v>
      </c>
      <c r="M545" s="1" t="s">
        <v>42</v>
      </c>
      <c r="N545" s="39" t="s">
        <v>132</v>
      </c>
      <c r="O545" t="s">
        <v>44</v>
      </c>
      <c r="P545" s="39" t="s">
        <v>926</v>
      </c>
      <c r="Q545" t="s">
        <v>922</v>
      </c>
      <c r="R545" t="s">
        <v>923</v>
      </c>
      <c r="S545" t="s">
        <v>927</v>
      </c>
      <c r="T545" t="s">
        <v>42</v>
      </c>
      <c r="U545" t="s">
        <v>42</v>
      </c>
      <c r="V545" t="s">
        <v>42</v>
      </c>
      <c r="W545" s="8" t="s">
        <v>50</v>
      </c>
      <c r="X545" t="s">
        <v>925</v>
      </c>
      <c r="Y545" s="8">
        <v>1</v>
      </c>
      <c r="Z545">
        <v>0</v>
      </c>
      <c r="AA545">
        <v>0</v>
      </c>
      <c r="AB545">
        <v>0</v>
      </c>
      <c r="AC545" s="5">
        <v>2005</v>
      </c>
      <c r="AD545" s="1">
        <v>2008</v>
      </c>
      <c r="AE545" s="6">
        <v>4</v>
      </c>
      <c r="AF545">
        <v>4</v>
      </c>
      <c r="AG545" t="s">
        <v>64</v>
      </c>
      <c r="AH545" s="1" t="s">
        <v>64</v>
      </c>
    </row>
    <row r="546" spans="1:34" ht="15" customHeight="1">
      <c r="A546" t="s">
        <v>918</v>
      </c>
      <c r="B546" t="s">
        <v>919</v>
      </c>
      <c r="C546" s="24">
        <v>3</v>
      </c>
      <c r="D546" t="s">
        <v>38</v>
      </c>
      <c r="E546" t="s">
        <v>38</v>
      </c>
      <c r="F546" t="s">
        <v>39</v>
      </c>
      <c r="G546" t="s">
        <v>40</v>
      </c>
      <c r="H546" t="s">
        <v>185</v>
      </c>
      <c r="I546" t="s">
        <v>920</v>
      </c>
      <c r="J546" t="s">
        <v>42</v>
      </c>
      <c r="K546" t="s">
        <v>42</v>
      </c>
      <c r="L546" t="s">
        <v>42</v>
      </c>
      <c r="M546" s="1" t="s">
        <v>42</v>
      </c>
      <c r="N546" s="39" t="s">
        <v>132</v>
      </c>
      <c r="O546" t="s">
        <v>86</v>
      </c>
      <c r="P546" s="39" t="s">
        <v>132</v>
      </c>
      <c r="Q546" t="s">
        <v>922</v>
      </c>
      <c r="R546" t="s">
        <v>923</v>
      </c>
      <c r="S546" t="s">
        <v>928</v>
      </c>
      <c r="T546" t="s">
        <v>42</v>
      </c>
      <c r="U546" t="s">
        <v>42</v>
      </c>
      <c r="V546" t="s">
        <v>42</v>
      </c>
      <c r="W546" s="8" t="s">
        <v>64</v>
      </c>
      <c r="X546" t="s">
        <v>42</v>
      </c>
      <c r="Y546" s="8">
        <v>1</v>
      </c>
      <c r="Z546">
        <v>0</v>
      </c>
      <c r="AA546">
        <v>0</v>
      </c>
      <c r="AB546">
        <v>0</v>
      </c>
      <c r="AC546" s="5">
        <v>2005</v>
      </c>
      <c r="AD546" s="1">
        <v>2009</v>
      </c>
      <c r="AE546" s="6">
        <v>5</v>
      </c>
      <c r="AF546">
        <v>22</v>
      </c>
      <c r="AG546" t="s">
        <v>64</v>
      </c>
      <c r="AH546" s="1" t="s">
        <v>64</v>
      </c>
    </row>
    <row r="547" spans="1:34" ht="15" customHeight="1">
      <c r="A547" t="s">
        <v>918</v>
      </c>
      <c r="B547" t="s">
        <v>919</v>
      </c>
      <c r="C547" s="24">
        <v>4</v>
      </c>
      <c r="D547" t="s">
        <v>38</v>
      </c>
      <c r="E547" t="s">
        <v>38</v>
      </c>
      <c r="F547" t="s">
        <v>39</v>
      </c>
      <c r="G547" t="s">
        <v>40</v>
      </c>
      <c r="H547" t="s">
        <v>185</v>
      </c>
      <c r="I547" t="s">
        <v>920</v>
      </c>
      <c r="J547" t="s">
        <v>42</v>
      </c>
      <c r="K547" t="s">
        <v>42</v>
      </c>
      <c r="L547" t="s">
        <v>42</v>
      </c>
      <c r="M547" s="1" t="s">
        <v>42</v>
      </c>
      <c r="N547" s="39" t="s">
        <v>132</v>
      </c>
      <c r="O547" t="s">
        <v>44</v>
      </c>
      <c r="P547" s="39" t="s">
        <v>132</v>
      </c>
      <c r="Q547" t="s">
        <v>922</v>
      </c>
      <c r="R547" t="s">
        <v>923</v>
      </c>
      <c r="S547" t="s">
        <v>929</v>
      </c>
      <c r="T547" t="s">
        <v>42</v>
      </c>
      <c r="U547" t="s">
        <v>42</v>
      </c>
      <c r="V547" t="s">
        <v>42</v>
      </c>
      <c r="W547" s="8" t="s">
        <v>50</v>
      </c>
      <c r="X547" t="s">
        <v>658</v>
      </c>
      <c r="Y547" s="8">
        <v>1</v>
      </c>
      <c r="Z547">
        <v>0</v>
      </c>
      <c r="AA547">
        <v>0</v>
      </c>
      <c r="AB547">
        <v>0</v>
      </c>
      <c r="AC547" s="5">
        <v>2005</v>
      </c>
      <c r="AD547" s="1">
        <v>2009</v>
      </c>
      <c r="AE547" s="6">
        <v>5</v>
      </c>
      <c r="AF547">
        <v>5</v>
      </c>
      <c r="AG547" t="s">
        <v>64</v>
      </c>
      <c r="AH547" s="1" t="s">
        <v>64</v>
      </c>
    </row>
    <row r="548" spans="1:34" ht="15" customHeight="1">
      <c r="A548" t="s">
        <v>918</v>
      </c>
      <c r="B548" t="s">
        <v>919</v>
      </c>
      <c r="C548" s="24">
        <v>5</v>
      </c>
      <c r="D548" t="s">
        <v>38</v>
      </c>
      <c r="E548" t="s">
        <v>38</v>
      </c>
      <c r="F548" t="s">
        <v>39</v>
      </c>
      <c r="G548" t="s">
        <v>40</v>
      </c>
      <c r="H548" t="s">
        <v>185</v>
      </c>
      <c r="I548" t="s">
        <v>920</v>
      </c>
      <c r="J548" t="s">
        <v>42</v>
      </c>
      <c r="K548" t="s">
        <v>42</v>
      </c>
      <c r="L548" t="s">
        <v>42</v>
      </c>
      <c r="M548" s="1" t="s">
        <v>42</v>
      </c>
      <c r="N548" s="39" t="s">
        <v>132</v>
      </c>
      <c r="O548" t="s">
        <v>86</v>
      </c>
      <c r="P548" s="39" t="s">
        <v>930</v>
      </c>
      <c r="Q548" t="s">
        <v>922</v>
      </c>
      <c r="R548" t="s">
        <v>923</v>
      </c>
      <c r="S548" t="s">
        <v>931</v>
      </c>
      <c r="T548" t="s">
        <v>42</v>
      </c>
      <c r="U548" t="s">
        <v>42</v>
      </c>
      <c r="V548" t="s">
        <v>42</v>
      </c>
      <c r="W548" s="8" t="s">
        <v>64</v>
      </c>
      <c r="X548" t="s">
        <v>42</v>
      </c>
      <c r="Y548" s="8">
        <v>1</v>
      </c>
      <c r="Z548">
        <v>0</v>
      </c>
      <c r="AA548">
        <v>0</v>
      </c>
      <c r="AB548">
        <v>0</v>
      </c>
      <c r="AC548" s="5">
        <v>2005</v>
      </c>
      <c r="AD548" s="1">
        <v>2009</v>
      </c>
      <c r="AE548" s="6">
        <v>5</v>
      </c>
      <c r="AF548">
        <v>5</v>
      </c>
      <c r="AG548" t="s">
        <v>64</v>
      </c>
      <c r="AH548" s="1" t="s">
        <v>64</v>
      </c>
    </row>
    <row r="549" spans="1:34" s="9" customFormat="1" ht="15" customHeight="1">
      <c r="A549" s="9" t="s">
        <v>918</v>
      </c>
      <c r="B549" s="9" t="s">
        <v>919</v>
      </c>
      <c r="C549" s="25">
        <v>6</v>
      </c>
      <c r="D549" s="9" t="s">
        <v>38</v>
      </c>
      <c r="E549" s="9" t="s">
        <v>38</v>
      </c>
      <c r="F549" s="9" t="s">
        <v>39</v>
      </c>
      <c r="G549" s="9" t="s">
        <v>40</v>
      </c>
      <c r="H549" s="9" t="s">
        <v>185</v>
      </c>
      <c r="I549" s="9" t="s">
        <v>920</v>
      </c>
      <c r="J549" s="9" t="s">
        <v>42</v>
      </c>
      <c r="K549" s="9" t="s">
        <v>42</v>
      </c>
      <c r="L549" s="9" t="s">
        <v>42</v>
      </c>
      <c r="M549" s="10" t="s">
        <v>42</v>
      </c>
      <c r="N549" s="39" t="s">
        <v>139</v>
      </c>
      <c r="O549" s="9" t="s">
        <v>44</v>
      </c>
      <c r="P549" s="40" t="s">
        <v>932</v>
      </c>
      <c r="Q549" s="9" t="s">
        <v>922</v>
      </c>
      <c r="R549" s="9" t="s">
        <v>923</v>
      </c>
      <c r="S549" s="9" t="s">
        <v>933</v>
      </c>
      <c r="T549" s="9" t="s">
        <v>42</v>
      </c>
      <c r="U549" s="9" t="s">
        <v>42</v>
      </c>
      <c r="V549" s="9" t="s">
        <v>42</v>
      </c>
      <c r="W549" s="11" t="s">
        <v>50</v>
      </c>
      <c r="X549" s="9" t="s">
        <v>658</v>
      </c>
      <c r="Y549" s="11">
        <v>1</v>
      </c>
      <c r="Z549" s="9">
        <v>0</v>
      </c>
      <c r="AA549" s="9">
        <v>0</v>
      </c>
      <c r="AB549" s="9">
        <v>0</v>
      </c>
      <c r="AC549" s="12">
        <v>2005</v>
      </c>
      <c r="AD549" s="10">
        <v>2009</v>
      </c>
      <c r="AE549" s="13">
        <v>5</v>
      </c>
      <c r="AF549" s="9">
        <v>5</v>
      </c>
      <c r="AG549" s="9" t="s">
        <v>64</v>
      </c>
      <c r="AH549" s="10" t="s">
        <v>64</v>
      </c>
    </row>
    <row r="550" spans="1:34" ht="15" customHeight="1">
      <c r="A550" t="s">
        <v>934</v>
      </c>
      <c r="B550" t="s">
        <v>935</v>
      </c>
      <c r="C550" s="1">
        <v>1</v>
      </c>
      <c r="D550" t="s">
        <v>38</v>
      </c>
      <c r="E550" t="s">
        <v>38</v>
      </c>
      <c r="F550" t="s">
        <v>116</v>
      </c>
      <c r="G550" t="s">
        <v>40</v>
      </c>
      <c r="H550" t="s">
        <v>42</v>
      </c>
      <c r="I550" t="s">
        <v>42</v>
      </c>
      <c r="J550" t="s">
        <v>42</v>
      </c>
      <c r="K550" t="s">
        <v>353</v>
      </c>
      <c r="L550" t="s">
        <v>42</v>
      </c>
      <c r="M550" s="1" t="s">
        <v>42</v>
      </c>
      <c r="N550" s="39" t="s">
        <v>786</v>
      </c>
      <c r="O550" t="s">
        <v>86</v>
      </c>
      <c r="P550" s="39" t="s">
        <v>936</v>
      </c>
      <c r="Q550" t="s">
        <v>108</v>
      </c>
      <c r="R550" t="s">
        <v>109</v>
      </c>
      <c r="S550" t="s">
        <v>937</v>
      </c>
      <c r="T550" t="s">
        <v>42</v>
      </c>
      <c r="U550" t="s">
        <v>42</v>
      </c>
      <c r="V550" t="s">
        <v>42</v>
      </c>
      <c r="W550" s="8" t="s">
        <v>64</v>
      </c>
      <c r="X550" t="s">
        <v>42</v>
      </c>
      <c r="Y550" s="8">
        <v>1</v>
      </c>
      <c r="Z550">
        <v>10</v>
      </c>
      <c r="AA550">
        <v>4</v>
      </c>
      <c r="AB550">
        <v>5</v>
      </c>
      <c r="AC550" s="5">
        <v>2012</v>
      </c>
      <c r="AD550" s="1">
        <v>2013</v>
      </c>
      <c r="AE550" s="6" t="s">
        <v>72</v>
      </c>
      <c r="AF550">
        <v>1</v>
      </c>
      <c r="AG550" t="s">
        <v>64</v>
      </c>
      <c r="AH550" s="1" t="s">
        <v>64</v>
      </c>
    </row>
    <row r="551" spans="1:34" ht="15" customHeight="1">
      <c r="A551" t="s">
        <v>934</v>
      </c>
      <c r="B551" t="s">
        <v>935</v>
      </c>
      <c r="C551" s="1">
        <v>2</v>
      </c>
      <c r="D551" t="s">
        <v>38</v>
      </c>
      <c r="E551" t="s">
        <v>38</v>
      </c>
      <c r="F551" t="s">
        <v>116</v>
      </c>
      <c r="G551" t="s">
        <v>40</v>
      </c>
      <c r="H551" t="s">
        <v>42</v>
      </c>
      <c r="I551" t="s">
        <v>42</v>
      </c>
      <c r="J551" t="s">
        <v>42</v>
      </c>
      <c r="K551" t="s">
        <v>353</v>
      </c>
      <c r="L551" t="s">
        <v>42</v>
      </c>
      <c r="M551" s="1" t="s">
        <v>42</v>
      </c>
      <c r="N551" s="39" t="s">
        <v>786</v>
      </c>
      <c r="O551" t="s">
        <v>86</v>
      </c>
      <c r="P551" s="39" t="s">
        <v>936</v>
      </c>
      <c r="Q551" t="s">
        <v>94</v>
      </c>
      <c r="R551" t="s">
        <v>113</v>
      </c>
      <c r="S551" t="s">
        <v>937</v>
      </c>
      <c r="T551" t="s">
        <v>42</v>
      </c>
      <c r="U551" t="s">
        <v>42</v>
      </c>
      <c r="V551" t="s">
        <v>42</v>
      </c>
      <c r="W551" s="8" t="s">
        <v>64</v>
      </c>
      <c r="X551" t="s">
        <v>42</v>
      </c>
      <c r="Y551" s="8">
        <v>1</v>
      </c>
      <c r="Z551">
        <v>10</v>
      </c>
      <c r="AA551">
        <v>4</v>
      </c>
      <c r="AB551">
        <v>5</v>
      </c>
      <c r="AC551" s="5">
        <v>2012</v>
      </c>
      <c r="AD551" s="1">
        <v>2013</v>
      </c>
      <c r="AE551" s="6" t="s">
        <v>72</v>
      </c>
      <c r="AF551">
        <v>1</v>
      </c>
      <c r="AG551" t="s">
        <v>64</v>
      </c>
      <c r="AH551" s="1" t="s">
        <v>64</v>
      </c>
    </row>
    <row r="552" spans="1:34" ht="15" customHeight="1">
      <c r="A552" t="s">
        <v>934</v>
      </c>
      <c r="B552" t="s">
        <v>935</v>
      </c>
      <c r="C552" s="1">
        <v>3</v>
      </c>
      <c r="D552" t="s">
        <v>38</v>
      </c>
      <c r="E552" t="s">
        <v>38</v>
      </c>
      <c r="F552" t="s">
        <v>116</v>
      </c>
      <c r="G552" t="s">
        <v>40</v>
      </c>
      <c r="H552" t="s">
        <v>42</v>
      </c>
      <c r="I552" t="s">
        <v>42</v>
      </c>
      <c r="J552" t="s">
        <v>42</v>
      </c>
      <c r="K552" t="s">
        <v>353</v>
      </c>
      <c r="L552" t="s">
        <v>42</v>
      </c>
      <c r="M552" s="1" t="s">
        <v>42</v>
      </c>
      <c r="N552" s="39" t="s">
        <v>786</v>
      </c>
      <c r="O552" t="s">
        <v>86</v>
      </c>
      <c r="P552" s="39" t="s">
        <v>936</v>
      </c>
      <c r="Q552" t="s">
        <v>102</v>
      </c>
      <c r="R552" t="s">
        <v>103</v>
      </c>
      <c r="S552" t="s">
        <v>937</v>
      </c>
      <c r="T552" t="s">
        <v>42</v>
      </c>
      <c r="U552" t="s">
        <v>42</v>
      </c>
      <c r="V552" t="s">
        <v>42</v>
      </c>
      <c r="W552" s="8" t="s">
        <v>64</v>
      </c>
      <c r="X552" t="s">
        <v>42</v>
      </c>
      <c r="Y552" s="8">
        <v>1</v>
      </c>
      <c r="Z552">
        <v>10</v>
      </c>
      <c r="AA552">
        <v>4</v>
      </c>
      <c r="AB552">
        <v>5</v>
      </c>
      <c r="AC552" s="5">
        <v>2012</v>
      </c>
      <c r="AD552" s="1">
        <v>2013</v>
      </c>
      <c r="AE552" s="6" t="s">
        <v>72</v>
      </c>
      <c r="AF552">
        <v>1</v>
      </c>
      <c r="AG552" t="s">
        <v>64</v>
      </c>
      <c r="AH552" s="1" t="s">
        <v>64</v>
      </c>
    </row>
    <row r="553" spans="1:34" s="9" customFormat="1" ht="15" customHeight="1">
      <c r="A553" s="9" t="s">
        <v>934</v>
      </c>
      <c r="B553" s="9" t="s">
        <v>935</v>
      </c>
      <c r="C553" s="10">
        <v>4</v>
      </c>
      <c r="D553" s="9" t="s">
        <v>38</v>
      </c>
      <c r="E553" s="9" t="s">
        <v>38</v>
      </c>
      <c r="F553" s="9" t="s">
        <v>116</v>
      </c>
      <c r="G553" s="9" t="s">
        <v>40</v>
      </c>
      <c r="H553" s="9" t="s">
        <v>42</v>
      </c>
      <c r="I553" s="9" t="s">
        <v>42</v>
      </c>
      <c r="J553" s="9" t="s">
        <v>42</v>
      </c>
      <c r="K553" s="9" t="s">
        <v>353</v>
      </c>
      <c r="L553" s="9" t="s">
        <v>42</v>
      </c>
      <c r="M553" s="10" t="s">
        <v>42</v>
      </c>
      <c r="N553" s="40" t="s">
        <v>786</v>
      </c>
      <c r="O553" s="9" t="s">
        <v>86</v>
      </c>
      <c r="P553" s="40" t="s">
        <v>938</v>
      </c>
      <c r="Q553" s="9" t="s">
        <v>939</v>
      </c>
      <c r="R553" s="9" t="s">
        <v>42</v>
      </c>
      <c r="S553" s="9" t="s">
        <v>940</v>
      </c>
      <c r="T553" s="9" t="s">
        <v>42</v>
      </c>
      <c r="U553" s="9" t="s">
        <v>42</v>
      </c>
      <c r="V553" s="9" t="s">
        <v>42</v>
      </c>
      <c r="W553" s="11" t="s">
        <v>64</v>
      </c>
      <c r="X553" s="9" t="s">
        <v>42</v>
      </c>
      <c r="Y553" s="11" t="s">
        <v>659</v>
      </c>
      <c r="Z553" s="11" t="s">
        <v>659</v>
      </c>
      <c r="AA553" s="11" t="s">
        <v>659</v>
      </c>
      <c r="AB553" s="11" t="s">
        <v>659</v>
      </c>
      <c r="AC553" s="12">
        <v>2012</v>
      </c>
      <c r="AD553" s="10">
        <v>2013</v>
      </c>
      <c r="AE553" s="13" t="s">
        <v>72</v>
      </c>
      <c r="AF553" s="9">
        <v>1</v>
      </c>
      <c r="AG553" s="9" t="s">
        <v>64</v>
      </c>
      <c r="AH553" s="10" t="s">
        <v>64</v>
      </c>
    </row>
    <row r="554" spans="1:34" ht="15" customHeight="1">
      <c r="A554" t="s">
        <v>941</v>
      </c>
      <c r="B554" t="s">
        <v>942</v>
      </c>
      <c r="C554" s="1">
        <v>1</v>
      </c>
      <c r="D554" t="s">
        <v>397</v>
      </c>
      <c r="E554" t="s">
        <v>397</v>
      </c>
      <c r="F554" t="s">
        <v>39</v>
      </c>
      <c r="G554" t="s">
        <v>40</v>
      </c>
      <c r="H554" t="s">
        <v>841</v>
      </c>
      <c r="I554" t="s">
        <v>42</v>
      </c>
      <c r="J554" t="s">
        <v>42</v>
      </c>
      <c r="K554" t="s">
        <v>42</v>
      </c>
      <c r="L554" t="s">
        <v>42</v>
      </c>
      <c r="M554" s="1" t="s">
        <v>42</v>
      </c>
      <c r="N554" s="39" t="s">
        <v>430</v>
      </c>
      <c r="O554" t="s">
        <v>86</v>
      </c>
      <c r="P554" s="39" t="s">
        <v>436</v>
      </c>
      <c r="Q554" t="s">
        <v>108</v>
      </c>
      <c r="R554" t="s">
        <v>109</v>
      </c>
      <c r="S554" t="s">
        <v>42</v>
      </c>
      <c r="T554" t="s">
        <v>943</v>
      </c>
      <c r="U554" t="s">
        <v>944</v>
      </c>
      <c r="V554" t="s">
        <v>841</v>
      </c>
      <c r="W554" s="8" t="s">
        <v>50</v>
      </c>
      <c r="X554" t="s">
        <v>945</v>
      </c>
      <c r="Y554" s="8">
        <v>0</v>
      </c>
      <c r="Z554">
        <v>0</v>
      </c>
      <c r="AA554">
        <v>0</v>
      </c>
      <c r="AB554">
        <v>10</v>
      </c>
      <c r="AC554" s="5">
        <v>2012</v>
      </c>
      <c r="AD554">
        <v>2013</v>
      </c>
      <c r="AE554" s="6" t="s">
        <v>72</v>
      </c>
      <c r="AF554">
        <v>1</v>
      </c>
      <c r="AG554" t="s">
        <v>64</v>
      </c>
      <c r="AH554" s="1" t="s">
        <v>64</v>
      </c>
    </row>
    <row r="555" spans="1:34" s="9" customFormat="1" ht="15" customHeight="1">
      <c r="A555" s="9" t="s">
        <v>941</v>
      </c>
      <c r="B555" s="9" t="s">
        <v>942</v>
      </c>
      <c r="C555" s="10">
        <v>2</v>
      </c>
      <c r="D555" s="9" t="s">
        <v>397</v>
      </c>
      <c r="E555" s="9" t="s">
        <v>397</v>
      </c>
      <c r="F555" s="9" t="s">
        <v>39</v>
      </c>
      <c r="G555" s="9" t="s">
        <v>40</v>
      </c>
      <c r="H555" s="9" t="s">
        <v>841</v>
      </c>
      <c r="I555" s="9" t="s">
        <v>42</v>
      </c>
      <c r="J555" s="9" t="s">
        <v>42</v>
      </c>
      <c r="K555" s="9" t="s">
        <v>42</v>
      </c>
      <c r="L555" s="9" t="s">
        <v>42</v>
      </c>
      <c r="M555" s="10" t="s">
        <v>42</v>
      </c>
      <c r="N555" s="40" t="s">
        <v>430</v>
      </c>
      <c r="O555" s="9" t="s">
        <v>86</v>
      </c>
      <c r="P555" s="40" t="s">
        <v>456</v>
      </c>
      <c r="Q555" t="s">
        <v>108</v>
      </c>
      <c r="R555" t="s">
        <v>109</v>
      </c>
      <c r="S555" s="9" t="s">
        <v>42</v>
      </c>
      <c r="T555" s="9" t="s">
        <v>943</v>
      </c>
      <c r="U555" s="9" t="s">
        <v>944</v>
      </c>
      <c r="V555" s="9" t="s">
        <v>841</v>
      </c>
      <c r="W555" s="11" t="s">
        <v>50</v>
      </c>
      <c r="X555" s="9" t="s">
        <v>945</v>
      </c>
      <c r="Y555" s="11">
        <v>0</v>
      </c>
      <c r="Z555" s="9">
        <v>0</v>
      </c>
      <c r="AA555" s="9">
        <v>0</v>
      </c>
      <c r="AB555" s="9">
        <v>10</v>
      </c>
      <c r="AC555" s="12">
        <v>2012</v>
      </c>
      <c r="AD555" s="9">
        <v>2013</v>
      </c>
      <c r="AE555" s="13" t="s">
        <v>72</v>
      </c>
      <c r="AF555" s="9">
        <v>1</v>
      </c>
      <c r="AG555" s="9" t="s">
        <v>64</v>
      </c>
      <c r="AH555" s="10" t="s">
        <v>64</v>
      </c>
    </row>
    <row r="556" spans="1:34" ht="15" customHeight="1">
      <c r="A556" t="s">
        <v>946</v>
      </c>
      <c r="B556" t="s">
        <v>947</v>
      </c>
      <c r="C556" s="1">
        <v>1</v>
      </c>
      <c r="D556" t="s">
        <v>38</v>
      </c>
      <c r="E556" t="s">
        <v>38</v>
      </c>
      <c r="F556" t="s">
        <v>39</v>
      </c>
      <c r="G556" t="s">
        <v>40</v>
      </c>
      <c r="H556" t="s">
        <v>948</v>
      </c>
      <c r="I556" t="s">
        <v>42</v>
      </c>
      <c r="J556" t="s">
        <v>42</v>
      </c>
      <c r="K556" t="s">
        <v>42</v>
      </c>
      <c r="L556" t="s">
        <v>42</v>
      </c>
      <c r="M556" s="1" t="s">
        <v>42</v>
      </c>
      <c r="N556" s="39" t="s">
        <v>132</v>
      </c>
      <c r="O556" t="s">
        <v>86</v>
      </c>
      <c r="P556" s="39" t="s">
        <v>949</v>
      </c>
      <c r="Q556" t="s">
        <v>950</v>
      </c>
      <c r="R556" t="s">
        <v>951</v>
      </c>
      <c r="S556" t="s">
        <v>181</v>
      </c>
      <c r="T556" t="s">
        <v>42</v>
      </c>
      <c r="U556" t="s">
        <v>42</v>
      </c>
      <c r="V556" t="s">
        <v>42</v>
      </c>
      <c r="W556" s="8" t="s">
        <v>64</v>
      </c>
      <c r="X556" t="s">
        <v>42</v>
      </c>
      <c r="Y556" s="8">
        <v>1</v>
      </c>
      <c r="Z556">
        <v>0</v>
      </c>
      <c r="AA556">
        <v>0</v>
      </c>
      <c r="AB556">
        <v>0</v>
      </c>
      <c r="AC556" s="5">
        <v>2017</v>
      </c>
      <c r="AD556" s="1">
        <v>2020</v>
      </c>
      <c r="AE556" s="6">
        <v>3</v>
      </c>
      <c r="AF556">
        <v>17</v>
      </c>
      <c r="AG556" t="s">
        <v>64</v>
      </c>
      <c r="AH556" s="1" t="s">
        <v>64</v>
      </c>
    </row>
    <row r="557" spans="1:34" ht="15" customHeight="1">
      <c r="A557" t="s">
        <v>946</v>
      </c>
      <c r="B557" t="s">
        <v>947</v>
      </c>
      <c r="C557" s="1">
        <v>2</v>
      </c>
      <c r="D557" t="s">
        <v>38</v>
      </c>
      <c r="E557" t="s">
        <v>38</v>
      </c>
      <c r="F557" t="s">
        <v>39</v>
      </c>
      <c r="G557" t="s">
        <v>40</v>
      </c>
      <c r="H557" t="s">
        <v>948</v>
      </c>
      <c r="I557" t="s">
        <v>42</v>
      </c>
      <c r="J557" t="s">
        <v>42</v>
      </c>
      <c r="K557" t="s">
        <v>42</v>
      </c>
      <c r="L557" t="s">
        <v>42</v>
      </c>
      <c r="M557" s="1" t="s">
        <v>42</v>
      </c>
      <c r="N557" s="39" t="s">
        <v>132</v>
      </c>
      <c r="O557" t="s">
        <v>86</v>
      </c>
      <c r="P557" s="39" t="s">
        <v>952</v>
      </c>
      <c r="Q557" t="s">
        <v>950</v>
      </c>
      <c r="R557" t="s">
        <v>951</v>
      </c>
      <c r="S557" t="s">
        <v>181</v>
      </c>
      <c r="T557" t="s">
        <v>42</v>
      </c>
      <c r="U557" t="s">
        <v>42</v>
      </c>
      <c r="V557" t="s">
        <v>42</v>
      </c>
      <c r="W557" s="8" t="s">
        <v>64</v>
      </c>
      <c r="X557" t="s">
        <v>42</v>
      </c>
      <c r="Y557" s="8">
        <v>1</v>
      </c>
      <c r="Z557">
        <v>0</v>
      </c>
      <c r="AA557">
        <v>0</v>
      </c>
      <c r="AB557">
        <v>0</v>
      </c>
      <c r="AC557" s="5">
        <v>2017</v>
      </c>
      <c r="AD557" s="1">
        <v>2020</v>
      </c>
      <c r="AE557" s="6">
        <v>3</v>
      </c>
      <c r="AF557">
        <v>17</v>
      </c>
      <c r="AG557" t="s">
        <v>64</v>
      </c>
      <c r="AH557" s="1" t="s">
        <v>64</v>
      </c>
    </row>
    <row r="558" spans="1:34" ht="15" customHeight="1">
      <c r="A558" t="s">
        <v>946</v>
      </c>
      <c r="B558" t="s">
        <v>947</v>
      </c>
      <c r="C558" s="1">
        <v>3</v>
      </c>
      <c r="D558" t="s">
        <v>38</v>
      </c>
      <c r="E558" t="s">
        <v>38</v>
      </c>
      <c r="F558" t="s">
        <v>39</v>
      </c>
      <c r="G558" t="s">
        <v>40</v>
      </c>
      <c r="H558" t="s">
        <v>948</v>
      </c>
      <c r="I558" t="s">
        <v>42</v>
      </c>
      <c r="J558" t="s">
        <v>42</v>
      </c>
      <c r="K558" t="s">
        <v>42</v>
      </c>
      <c r="L558" t="s">
        <v>42</v>
      </c>
      <c r="M558" s="1" t="s">
        <v>42</v>
      </c>
      <c r="N558" s="39" t="s">
        <v>132</v>
      </c>
      <c r="O558" t="s">
        <v>86</v>
      </c>
      <c r="P558" s="39" t="s">
        <v>953</v>
      </c>
      <c r="Q558" t="s">
        <v>950</v>
      </c>
      <c r="R558" t="s">
        <v>951</v>
      </c>
      <c r="S558" t="s">
        <v>954</v>
      </c>
      <c r="T558" t="s">
        <v>955</v>
      </c>
      <c r="U558" t="s">
        <v>42</v>
      </c>
      <c r="V558" t="s">
        <v>42</v>
      </c>
      <c r="W558" s="8" t="s">
        <v>64</v>
      </c>
      <c r="X558" t="s">
        <v>42</v>
      </c>
      <c r="Y558" s="8">
        <v>1</v>
      </c>
      <c r="Z558">
        <v>0</v>
      </c>
      <c r="AA558">
        <v>0</v>
      </c>
      <c r="AB558">
        <v>0</v>
      </c>
      <c r="AC558" s="5">
        <v>2017</v>
      </c>
      <c r="AD558" s="1">
        <v>2020</v>
      </c>
      <c r="AE558" s="6">
        <v>3</v>
      </c>
      <c r="AF558">
        <v>33</v>
      </c>
      <c r="AG558" t="s">
        <v>64</v>
      </c>
      <c r="AH558" s="1" t="s">
        <v>64</v>
      </c>
    </row>
    <row r="559" spans="1:34" ht="15" customHeight="1">
      <c r="A559" t="s">
        <v>946</v>
      </c>
      <c r="B559" t="s">
        <v>947</v>
      </c>
      <c r="C559" s="1">
        <v>4</v>
      </c>
      <c r="D559" t="s">
        <v>38</v>
      </c>
      <c r="E559" t="s">
        <v>38</v>
      </c>
      <c r="F559" t="s">
        <v>39</v>
      </c>
      <c r="G559" t="s">
        <v>40</v>
      </c>
      <c r="H559" t="s">
        <v>956</v>
      </c>
      <c r="I559" t="s">
        <v>920</v>
      </c>
      <c r="J559" t="s">
        <v>42</v>
      </c>
      <c r="K559" t="s">
        <v>42</v>
      </c>
      <c r="L559" t="s">
        <v>42</v>
      </c>
      <c r="M559" s="1" t="s">
        <v>42</v>
      </c>
      <c r="N559" s="39" t="s">
        <v>132</v>
      </c>
      <c r="O559" t="s">
        <v>86</v>
      </c>
      <c r="P559" s="39" t="s">
        <v>957</v>
      </c>
      <c r="Q559" t="s">
        <v>958</v>
      </c>
      <c r="R559" t="s">
        <v>42</v>
      </c>
      <c r="S559" t="s">
        <v>181</v>
      </c>
      <c r="T559" t="s">
        <v>42</v>
      </c>
      <c r="U559" t="s">
        <v>42</v>
      </c>
      <c r="V559" t="s">
        <v>42</v>
      </c>
      <c r="W559" s="8" t="s">
        <v>64</v>
      </c>
      <c r="X559" t="s">
        <v>42</v>
      </c>
      <c r="Y559" s="8">
        <v>1</v>
      </c>
      <c r="Z559">
        <v>0</v>
      </c>
      <c r="AA559">
        <v>0</v>
      </c>
      <c r="AB559">
        <v>0</v>
      </c>
      <c r="AC559" s="5">
        <v>2017</v>
      </c>
      <c r="AD559" s="1">
        <v>2020</v>
      </c>
      <c r="AE559" s="6">
        <v>3</v>
      </c>
      <c r="AF559">
        <v>33</v>
      </c>
      <c r="AG559" t="s">
        <v>64</v>
      </c>
      <c r="AH559" s="1" t="s">
        <v>64</v>
      </c>
    </row>
    <row r="560" spans="1:34" ht="15" customHeight="1">
      <c r="A560" t="s">
        <v>946</v>
      </c>
      <c r="B560" t="s">
        <v>947</v>
      </c>
      <c r="C560" s="1">
        <v>5</v>
      </c>
      <c r="D560" t="s">
        <v>38</v>
      </c>
      <c r="E560" t="s">
        <v>38</v>
      </c>
      <c r="F560" t="s">
        <v>39</v>
      </c>
      <c r="G560" t="s">
        <v>40</v>
      </c>
      <c r="H560" t="s">
        <v>956</v>
      </c>
      <c r="I560" t="s">
        <v>920</v>
      </c>
      <c r="J560" t="s">
        <v>42</v>
      </c>
      <c r="K560" t="s">
        <v>42</v>
      </c>
      <c r="L560" t="s">
        <v>42</v>
      </c>
      <c r="M560" s="1" t="s">
        <v>42</v>
      </c>
      <c r="N560" s="39" t="s">
        <v>132</v>
      </c>
      <c r="O560" t="s">
        <v>86</v>
      </c>
      <c r="P560" s="39" t="s">
        <v>132</v>
      </c>
      <c r="Q560" t="s">
        <v>959</v>
      </c>
      <c r="R560" t="s">
        <v>960</v>
      </c>
      <c r="S560" t="s">
        <v>961</v>
      </c>
      <c r="T560" t="s">
        <v>42</v>
      </c>
      <c r="U560" t="s">
        <v>42</v>
      </c>
      <c r="V560" t="s">
        <v>42</v>
      </c>
      <c r="W560" s="8" t="s">
        <v>64</v>
      </c>
      <c r="X560" t="s">
        <v>42</v>
      </c>
      <c r="Y560" s="8">
        <v>1</v>
      </c>
      <c r="Z560">
        <v>0</v>
      </c>
      <c r="AA560">
        <v>0</v>
      </c>
      <c r="AB560">
        <v>0</v>
      </c>
      <c r="AC560" s="5">
        <v>2017</v>
      </c>
      <c r="AD560" s="1">
        <v>2020</v>
      </c>
      <c r="AE560" s="6">
        <v>3</v>
      </c>
      <c r="AF560">
        <v>15</v>
      </c>
      <c r="AG560" t="s">
        <v>64</v>
      </c>
      <c r="AH560" s="1" t="s">
        <v>64</v>
      </c>
    </row>
    <row r="561" spans="1:34" ht="15" customHeight="1">
      <c r="A561" t="s">
        <v>946</v>
      </c>
      <c r="B561" t="s">
        <v>947</v>
      </c>
      <c r="C561" s="1">
        <v>6</v>
      </c>
      <c r="D561" t="s">
        <v>38</v>
      </c>
      <c r="E561" t="s">
        <v>38</v>
      </c>
      <c r="F561" t="s">
        <v>39</v>
      </c>
      <c r="G561" t="s">
        <v>40</v>
      </c>
      <c r="H561" t="s">
        <v>956</v>
      </c>
      <c r="I561" t="s">
        <v>920</v>
      </c>
      <c r="J561" t="s">
        <v>42</v>
      </c>
      <c r="K561" t="s">
        <v>42</v>
      </c>
      <c r="L561" t="s">
        <v>42</v>
      </c>
      <c r="M561" s="1" t="s">
        <v>42</v>
      </c>
      <c r="N561" s="39" t="s">
        <v>132</v>
      </c>
      <c r="O561" t="s">
        <v>86</v>
      </c>
      <c r="P561" s="39" t="s">
        <v>132</v>
      </c>
      <c r="Q561" t="s">
        <v>962</v>
      </c>
      <c r="R561" s="2" t="s">
        <v>963</v>
      </c>
      <c r="S561" t="s">
        <v>964</v>
      </c>
      <c r="T561" t="s">
        <v>42</v>
      </c>
      <c r="U561" t="s">
        <v>42</v>
      </c>
      <c r="V561" t="s">
        <v>42</v>
      </c>
      <c r="W561" s="8" t="s">
        <v>64</v>
      </c>
      <c r="X561" t="s">
        <v>42</v>
      </c>
      <c r="Y561" s="8">
        <v>1</v>
      </c>
      <c r="Z561">
        <v>0</v>
      </c>
      <c r="AA561">
        <v>0</v>
      </c>
      <c r="AB561">
        <v>0</v>
      </c>
      <c r="AC561" s="5">
        <v>2017</v>
      </c>
      <c r="AD561" s="1">
        <v>2020</v>
      </c>
      <c r="AE561" s="6">
        <v>3</v>
      </c>
      <c r="AF561">
        <v>15</v>
      </c>
      <c r="AG561" t="s">
        <v>64</v>
      </c>
      <c r="AH561" s="1" t="s">
        <v>64</v>
      </c>
    </row>
    <row r="562" spans="1:34" ht="15" customHeight="1">
      <c r="A562" t="s">
        <v>946</v>
      </c>
      <c r="B562" t="s">
        <v>947</v>
      </c>
      <c r="C562" s="1">
        <v>7</v>
      </c>
      <c r="D562" t="s">
        <v>38</v>
      </c>
      <c r="E562" t="s">
        <v>38</v>
      </c>
      <c r="F562" t="s">
        <v>39</v>
      </c>
      <c r="G562" t="s">
        <v>40</v>
      </c>
      <c r="H562" t="s">
        <v>956</v>
      </c>
      <c r="I562" t="s">
        <v>920</v>
      </c>
      <c r="J562" t="s">
        <v>42</v>
      </c>
      <c r="K562" t="s">
        <v>42</v>
      </c>
      <c r="L562" t="s">
        <v>42</v>
      </c>
      <c r="M562" s="1" t="s">
        <v>42</v>
      </c>
      <c r="N562" s="39" t="s">
        <v>132</v>
      </c>
      <c r="O562" t="s">
        <v>86</v>
      </c>
      <c r="P562" s="39" t="s">
        <v>132</v>
      </c>
      <c r="Q562" t="s">
        <v>965</v>
      </c>
      <c r="R562" t="s">
        <v>966</v>
      </c>
      <c r="S562" t="s">
        <v>964</v>
      </c>
      <c r="T562" t="s">
        <v>42</v>
      </c>
      <c r="U562" t="s">
        <v>42</v>
      </c>
      <c r="V562" t="s">
        <v>42</v>
      </c>
      <c r="W562" s="8" t="s">
        <v>64</v>
      </c>
      <c r="X562" t="s">
        <v>42</v>
      </c>
      <c r="Y562" s="8">
        <v>1</v>
      </c>
      <c r="Z562">
        <v>0</v>
      </c>
      <c r="AA562">
        <v>0</v>
      </c>
      <c r="AB562">
        <v>0</v>
      </c>
      <c r="AC562" s="5">
        <v>2017</v>
      </c>
      <c r="AD562" s="1">
        <v>2020</v>
      </c>
      <c r="AE562" s="6">
        <v>3</v>
      </c>
      <c r="AF562">
        <v>15</v>
      </c>
      <c r="AG562" t="s">
        <v>64</v>
      </c>
      <c r="AH562" s="1" t="s">
        <v>64</v>
      </c>
    </row>
    <row r="563" spans="1:34" s="9" customFormat="1" ht="15" customHeight="1">
      <c r="A563" s="9" t="s">
        <v>946</v>
      </c>
      <c r="B563" s="9" t="s">
        <v>947</v>
      </c>
      <c r="C563" s="10">
        <v>8</v>
      </c>
      <c r="D563" s="9" t="s">
        <v>38</v>
      </c>
      <c r="E563" s="9" t="s">
        <v>38</v>
      </c>
      <c r="F563" s="9" t="s">
        <v>39</v>
      </c>
      <c r="G563" s="9" t="s">
        <v>40</v>
      </c>
      <c r="H563" s="9" t="s">
        <v>956</v>
      </c>
      <c r="I563" s="9" t="s">
        <v>920</v>
      </c>
      <c r="J563" s="9" t="s">
        <v>42</v>
      </c>
      <c r="K563" s="9" t="s">
        <v>42</v>
      </c>
      <c r="L563" s="9" t="s">
        <v>42</v>
      </c>
      <c r="M563" s="10" t="s">
        <v>42</v>
      </c>
      <c r="N563" s="40" t="s">
        <v>132</v>
      </c>
      <c r="O563" s="9" t="s">
        <v>86</v>
      </c>
      <c r="P563" s="40" t="s">
        <v>132</v>
      </c>
      <c r="Q563" s="9" t="s">
        <v>967</v>
      </c>
      <c r="R563" s="9" t="s">
        <v>968</v>
      </c>
      <c r="S563" s="9" t="s">
        <v>964</v>
      </c>
      <c r="T563" s="9" t="s">
        <v>42</v>
      </c>
      <c r="U563" s="9" t="s">
        <v>42</v>
      </c>
      <c r="V563" s="9" t="s">
        <v>42</v>
      </c>
      <c r="W563" s="11" t="s">
        <v>64</v>
      </c>
      <c r="X563" s="9" t="s">
        <v>42</v>
      </c>
      <c r="Y563" s="11">
        <v>1</v>
      </c>
      <c r="Z563" s="9">
        <v>0</v>
      </c>
      <c r="AA563" s="9">
        <v>0</v>
      </c>
      <c r="AB563" s="9">
        <v>0</v>
      </c>
      <c r="AC563" s="12">
        <v>2017</v>
      </c>
      <c r="AD563" s="10">
        <v>2020</v>
      </c>
      <c r="AE563" s="13">
        <v>3</v>
      </c>
      <c r="AF563" s="9">
        <v>15</v>
      </c>
      <c r="AG563" s="9" t="s">
        <v>64</v>
      </c>
      <c r="AH563" s="10" t="s">
        <v>64</v>
      </c>
    </row>
    <row r="564" spans="1:34" ht="15" customHeight="1">
      <c r="A564" t="s">
        <v>969</v>
      </c>
      <c r="B564" t="s">
        <v>890</v>
      </c>
      <c r="C564" s="1">
        <v>1</v>
      </c>
      <c r="D564" t="s">
        <v>426</v>
      </c>
      <c r="E564" t="s">
        <v>426</v>
      </c>
      <c r="F564" t="s">
        <v>39</v>
      </c>
      <c r="G564" t="s">
        <v>40</v>
      </c>
      <c r="H564" t="s">
        <v>427</v>
      </c>
      <c r="I564" t="s">
        <v>444</v>
      </c>
      <c r="J564" t="s">
        <v>428</v>
      </c>
      <c r="K564" t="s">
        <v>42</v>
      </c>
      <c r="L564" t="s">
        <v>42</v>
      </c>
      <c r="M564" s="1" t="s">
        <v>42</v>
      </c>
      <c r="N564" s="39" t="s">
        <v>430</v>
      </c>
      <c r="O564" t="s">
        <v>44</v>
      </c>
      <c r="P564" s="39" t="s">
        <v>435</v>
      </c>
      <c r="Q564" t="s">
        <v>42</v>
      </c>
      <c r="R564" t="s">
        <v>42</v>
      </c>
      <c r="S564" t="s">
        <v>970</v>
      </c>
      <c r="T564" t="s">
        <v>971</v>
      </c>
      <c r="U564" t="s">
        <v>972</v>
      </c>
      <c r="V564" t="s">
        <v>893</v>
      </c>
      <c r="W564" s="8" t="s">
        <v>50</v>
      </c>
      <c r="X564" t="s">
        <v>85</v>
      </c>
      <c r="Y564" s="8">
        <v>0</v>
      </c>
      <c r="Z564">
        <v>0</v>
      </c>
      <c r="AA564">
        <v>0</v>
      </c>
      <c r="AB564">
        <v>21</v>
      </c>
      <c r="AC564" s="5">
        <v>2018</v>
      </c>
      <c r="AD564" s="1">
        <v>2019</v>
      </c>
      <c r="AE564" s="6" t="s">
        <v>72</v>
      </c>
      <c r="AF564">
        <v>1</v>
      </c>
      <c r="AG564" t="s">
        <v>64</v>
      </c>
      <c r="AH564" s="1" t="s">
        <v>64</v>
      </c>
    </row>
    <row r="565" spans="1:34" ht="15" customHeight="1">
      <c r="A565" t="s">
        <v>969</v>
      </c>
      <c r="B565" t="s">
        <v>890</v>
      </c>
      <c r="C565" s="1">
        <v>2</v>
      </c>
      <c r="D565" t="s">
        <v>426</v>
      </c>
      <c r="E565" t="s">
        <v>426</v>
      </c>
      <c r="F565" t="s">
        <v>39</v>
      </c>
      <c r="G565" t="s">
        <v>40</v>
      </c>
      <c r="H565" t="s">
        <v>427</v>
      </c>
      <c r="I565" t="s">
        <v>444</v>
      </c>
      <c r="J565" t="s">
        <v>428</v>
      </c>
      <c r="K565" t="s">
        <v>42</v>
      </c>
      <c r="L565" t="s">
        <v>42</v>
      </c>
      <c r="M565" s="1" t="s">
        <v>42</v>
      </c>
      <c r="N565" s="39" t="s">
        <v>430</v>
      </c>
      <c r="O565" t="s">
        <v>44</v>
      </c>
      <c r="P565" s="39" t="s">
        <v>493</v>
      </c>
      <c r="Q565" t="s">
        <v>42</v>
      </c>
      <c r="R565" t="s">
        <v>42</v>
      </c>
      <c r="S565" t="s">
        <v>970</v>
      </c>
      <c r="T565" t="s">
        <v>971</v>
      </c>
      <c r="U565" t="s">
        <v>972</v>
      </c>
      <c r="V565" t="s">
        <v>893</v>
      </c>
      <c r="W565" s="8" t="s">
        <v>50</v>
      </c>
      <c r="X565" t="s">
        <v>85</v>
      </c>
      <c r="Y565" s="8">
        <v>0</v>
      </c>
      <c r="Z565">
        <v>0</v>
      </c>
      <c r="AA565">
        <v>0</v>
      </c>
      <c r="AB565">
        <v>21</v>
      </c>
      <c r="AC565" s="5">
        <v>2018</v>
      </c>
      <c r="AD565" s="1">
        <v>2019</v>
      </c>
      <c r="AE565" s="6" t="s">
        <v>72</v>
      </c>
      <c r="AF565">
        <v>1</v>
      </c>
      <c r="AG565" t="s">
        <v>64</v>
      </c>
      <c r="AH565" s="1" t="s">
        <v>64</v>
      </c>
    </row>
    <row r="566" spans="1:34" ht="15" customHeight="1">
      <c r="A566" t="s">
        <v>969</v>
      </c>
      <c r="B566" t="s">
        <v>890</v>
      </c>
      <c r="C566" s="1">
        <v>3</v>
      </c>
      <c r="D566" t="s">
        <v>426</v>
      </c>
      <c r="E566" t="s">
        <v>426</v>
      </c>
      <c r="F566" t="s">
        <v>39</v>
      </c>
      <c r="G566" t="s">
        <v>40</v>
      </c>
      <c r="H566" t="s">
        <v>427</v>
      </c>
      <c r="I566" t="s">
        <v>444</v>
      </c>
      <c r="J566" t="s">
        <v>428</v>
      </c>
      <c r="K566" t="s">
        <v>42</v>
      </c>
      <c r="L566" t="s">
        <v>42</v>
      </c>
      <c r="M566" s="1" t="s">
        <v>42</v>
      </c>
      <c r="N566" s="39" t="s">
        <v>430</v>
      </c>
      <c r="O566" t="s">
        <v>44</v>
      </c>
      <c r="P566" s="39" t="s">
        <v>431</v>
      </c>
      <c r="Q566" t="s">
        <v>42</v>
      </c>
      <c r="R566" t="s">
        <v>42</v>
      </c>
      <c r="S566" t="s">
        <v>970</v>
      </c>
      <c r="T566" t="s">
        <v>971</v>
      </c>
      <c r="U566" t="s">
        <v>972</v>
      </c>
      <c r="V566" t="s">
        <v>893</v>
      </c>
      <c r="W566" s="8" t="s">
        <v>50</v>
      </c>
      <c r="X566" t="s">
        <v>85</v>
      </c>
      <c r="Y566" s="8">
        <v>0</v>
      </c>
      <c r="Z566">
        <v>0</v>
      </c>
      <c r="AA566">
        <v>0</v>
      </c>
      <c r="AB566">
        <v>21</v>
      </c>
      <c r="AC566" s="5">
        <v>2018</v>
      </c>
      <c r="AD566" s="1">
        <v>2019</v>
      </c>
      <c r="AE566" s="6" t="s">
        <v>72</v>
      </c>
      <c r="AF566">
        <v>1</v>
      </c>
      <c r="AG566" t="s">
        <v>64</v>
      </c>
      <c r="AH566" s="1" t="s">
        <v>64</v>
      </c>
    </row>
    <row r="567" spans="1:34" ht="15" customHeight="1">
      <c r="A567" t="s">
        <v>969</v>
      </c>
      <c r="B567" t="s">
        <v>890</v>
      </c>
      <c r="C567" s="1">
        <v>4</v>
      </c>
      <c r="D567" t="s">
        <v>426</v>
      </c>
      <c r="E567" t="s">
        <v>426</v>
      </c>
      <c r="F567" t="s">
        <v>39</v>
      </c>
      <c r="G567" t="s">
        <v>40</v>
      </c>
      <c r="H567" t="s">
        <v>427</v>
      </c>
      <c r="I567" t="s">
        <v>444</v>
      </c>
      <c r="J567" t="s">
        <v>428</v>
      </c>
      <c r="K567" t="s">
        <v>42</v>
      </c>
      <c r="L567" t="s">
        <v>42</v>
      </c>
      <c r="M567" s="1" t="s">
        <v>42</v>
      </c>
      <c r="N567" s="39" t="s">
        <v>430</v>
      </c>
      <c r="O567" t="s">
        <v>44</v>
      </c>
      <c r="P567" s="39" t="s">
        <v>434</v>
      </c>
      <c r="Q567" t="s">
        <v>42</v>
      </c>
      <c r="R567" t="s">
        <v>42</v>
      </c>
      <c r="S567" t="s">
        <v>970</v>
      </c>
      <c r="T567" t="s">
        <v>971</v>
      </c>
      <c r="U567" t="s">
        <v>972</v>
      </c>
      <c r="V567" t="s">
        <v>893</v>
      </c>
      <c r="W567" s="8" t="s">
        <v>50</v>
      </c>
      <c r="X567" t="s">
        <v>85</v>
      </c>
      <c r="Y567" s="8">
        <v>0</v>
      </c>
      <c r="Z567">
        <v>0</v>
      </c>
      <c r="AA567">
        <v>0</v>
      </c>
      <c r="AB567">
        <v>21</v>
      </c>
      <c r="AC567" s="5">
        <v>2018</v>
      </c>
      <c r="AD567" s="1">
        <v>2019</v>
      </c>
      <c r="AE567" s="6" t="s">
        <v>72</v>
      </c>
      <c r="AF567">
        <v>1</v>
      </c>
      <c r="AG567" t="s">
        <v>64</v>
      </c>
      <c r="AH567" s="1" t="s">
        <v>64</v>
      </c>
    </row>
    <row r="568" spans="1:34" ht="15" customHeight="1">
      <c r="A568" t="s">
        <v>969</v>
      </c>
      <c r="B568" t="s">
        <v>890</v>
      </c>
      <c r="C568" s="1">
        <v>5</v>
      </c>
      <c r="D568" t="s">
        <v>426</v>
      </c>
      <c r="E568" t="s">
        <v>426</v>
      </c>
      <c r="F568" t="s">
        <v>39</v>
      </c>
      <c r="G568" t="s">
        <v>40</v>
      </c>
      <c r="H568" t="s">
        <v>427</v>
      </c>
      <c r="I568" t="s">
        <v>444</v>
      </c>
      <c r="J568" t="s">
        <v>428</v>
      </c>
      <c r="K568" t="s">
        <v>42</v>
      </c>
      <c r="L568" t="s">
        <v>42</v>
      </c>
      <c r="M568" s="1" t="s">
        <v>42</v>
      </c>
      <c r="N568" s="39" t="s">
        <v>430</v>
      </c>
      <c r="O568" t="s">
        <v>44</v>
      </c>
      <c r="P568" s="39" t="s">
        <v>459</v>
      </c>
      <c r="Q568" t="s">
        <v>42</v>
      </c>
      <c r="R568" t="s">
        <v>42</v>
      </c>
      <c r="S568" t="s">
        <v>970</v>
      </c>
      <c r="T568" t="s">
        <v>971</v>
      </c>
      <c r="U568" t="s">
        <v>972</v>
      </c>
      <c r="V568" t="s">
        <v>893</v>
      </c>
      <c r="W568" s="8" t="s">
        <v>50</v>
      </c>
      <c r="X568" t="s">
        <v>85</v>
      </c>
      <c r="Y568" s="8">
        <v>0</v>
      </c>
      <c r="Z568">
        <v>0</v>
      </c>
      <c r="AA568">
        <v>0</v>
      </c>
      <c r="AB568">
        <v>21</v>
      </c>
      <c r="AC568" s="5">
        <v>2018</v>
      </c>
      <c r="AD568" s="1">
        <v>2019</v>
      </c>
      <c r="AE568" s="6" t="s">
        <v>72</v>
      </c>
      <c r="AF568">
        <v>1</v>
      </c>
      <c r="AG568" t="s">
        <v>64</v>
      </c>
      <c r="AH568" s="1" t="s">
        <v>64</v>
      </c>
    </row>
    <row r="569" spans="1:34" s="9" customFormat="1" ht="15" customHeight="1">
      <c r="A569" s="9" t="s">
        <v>969</v>
      </c>
      <c r="B569" s="9" t="s">
        <v>890</v>
      </c>
      <c r="C569" s="10">
        <v>6</v>
      </c>
      <c r="D569" s="9" t="s">
        <v>426</v>
      </c>
      <c r="E569" s="9" t="s">
        <v>426</v>
      </c>
      <c r="F569" s="9" t="s">
        <v>39</v>
      </c>
      <c r="G569" s="9" t="s">
        <v>40</v>
      </c>
      <c r="H569" s="9" t="s">
        <v>427</v>
      </c>
      <c r="I569" s="9" t="s">
        <v>444</v>
      </c>
      <c r="J569" s="9" t="s">
        <v>428</v>
      </c>
      <c r="K569" s="9" t="s">
        <v>42</v>
      </c>
      <c r="L569" s="9" t="s">
        <v>42</v>
      </c>
      <c r="M569" s="10" t="s">
        <v>42</v>
      </c>
      <c r="N569" s="40" t="s">
        <v>430</v>
      </c>
      <c r="O569" s="9" t="s">
        <v>44</v>
      </c>
      <c r="P569" s="40" t="s">
        <v>456</v>
      </c>
      <c r="Q569" s="9" t="s">
        <v>42</v>
      </c>
      <c r="R569" s="9" t="s">
        <v>42</v>
      </c>
      <c r="S569" s="9" t="s">
        <v>970</v>
      </c>
      <c r="T569" s="9" t="s">
        <v>971</v>
      </c>
      <c r="U569" s="9" t="s">
        <v>972</v>
      </c>
      <c r="V569" s="9" t="s">
        <v>893</v>
      </c>
      <c r="W569" s="11" t="s">
        <v>50</v>
      </c>
      <c r="X569" s="9" t="s">
        <v>85</v>
      </c>
      <c r="Y569" s="11">
        <v>0</v>
      </c>
      <c r="Z569" s="9">
        <v>0</v>
      </c>
      <c r="AA569" s="9">
        <v>0</v>
      </c>
      <c r="AB569" s="9">
        <v>21</v>
      </c>
      <c r="AC569" s="12">
        <v>2018</v>
      </c>
      <c r="AD569" s="10">
        <v>2019</v>
      </c>
      <c r="AE569" s="13" t="s">
        <v>72</v>
      </c>
      <c r="AF569" s="9">
        <v>1</v>
      </c>
      <c r="AG569" s="9" t="s">
        <v>64</v>
      </c>
      <c r="AH569" s="10" t="s">
        <v>64</v>
      </c>
    </row>
    <row r="570" spans="1:34" ht="15" customHeight="1">
      <c r="A570" t="s">
        <v>973</v>
      </c>
      <c r="B570" t="s">
        <v>974</v>
      </c>
      <c r="C570" s="1">
        <v>1</v>
      </c>
      <c r="D570" t="s">
        <v>604</v>
      </c>
      <c r="E570" t="s">
        <v>397</v>
      </c>
      <c r="F570" t="s">
        <v>123</v>
      </c>
      <c r="G570" t="s">
        <v>40</v>
      </c>
      <c r="H570" t="s">
        <v>975</v>
      </c>
      <c r="I570" t="s">
        <v>42</v>
      </c>
      <c r="J570" t="s">
        <v>42</v>
      </c>
      <c r="K570" t="s">
        <v>976</v>
      </c>
      <c r="L570" t="s">
        <v>42</v>
      </c>
      <c r="M570" s="1" t="s">
        <v>42</v>
      </c>
      <c r="N570" s="39" t="s">
        <v>430</v>
      </c>
      <c r="O570" t="s">
        <v>86</v>
      </c>
      <c r="P570" s="39" t="s">
        <v>435</v>
      </c>
      <c r="Q570" t="s">
        <v>977</v>
      </c>
      <c r="S570" t="s">
        <v>978</v>
      </c>
      <c r="T570" t="s">
        <v>42</v>
      </c>
      <c r="U570" t="s">
        <v>42</v>
      </c>
      <c r="V570" t="s">
        <v>42</v>
      </c>
      <c r="W570" s="8" t="s">
        <v>64</v>
      </c>
      <c r="X570" t="s">
        <v>42</v>
      </c>
      <c r="Y570" s="8">
        <v>0</v>
      </c>
      <c r="Z570">
        <v>0</v>
      </c>
      <c r="AA570">
        <v>0</v>
      </c>
      <c r="AB570" t="s">
        <v>659</v>
      </c>
      <c r="AC570" s="5">
        <v>1998</v>
      </c>
      <c r="AD570" s="1">
        <v>2020</v>
      </c>
      <c r="AE570" s="6">
        <f t="shared" ref="AE570:AE580" si="12">AD570-AC570</f>
        <v>22</v>
      </c>
      <c r="AF570">
        <v>23</v>
      </c>
      <c r="AG570" t="s">
        <v>64</v>
      </c>
      <c r="AH570" s="1" t="s">
        <v>64</v>
      </c>
    </row>
    <row r="571" spans="1:34" ht="15" customHeight="1">
      <c r="A571" t="s">
        <v>973</v>
      </c>
      <c r="B571" t="s">
        <v>974</v>
      </c>
      <c r="C571" s="1">
        <v>2</v>
      </c>
      <c r="D571" t="s">
        <v>604</v>
      </c>
      <c r="E571" t="s">
        <v>397</v>
      </c>
      <c r="F571" t="s">
        <v>123</v>
      </c>
      <c r="G571" t="s">
        <v>40</v>
      </c>
      <c r="H571" t="s">
        <v>975</v>
      </c>
      <c r="I571" t="s">
        <v>42</v>
      </c>
      <c r="J571" t="s">
        <v>42</v>
      </c>
      <c r="K571" t="s">
        <v>976</v>
      </c>
      <c r="L571" t="s">
        <v>42</v>
      </c>
      <c r="M571" s="1" t="s">
        <v>42</v>
      </c>
      <c r="N571" s="39" t="s">
        <v>430</v>
      </c>
      <c r="O571" t="s">
        <v>86</v>
      </c>
      <c r="P571" s="39" t="s">
        <v>493</v>
      </c>
      <c r="Q571" t="s">
        <v>42</v>
      </c>
      <c r="R571" t="s">
        <v>42</v>
      </c>
      <c r="S571" t="s">
        <v>978</v>
      </c>
      <c r="T571" t="s">
        <v>42</v>
      </c>
      <c r="U571" t="s">
        <v>42</v>
      </c>
      <c r="V571" t="s">
        <v>42</v>
      </c>
      <c r="W571" s="8" t="s">
        <v>64</v>
      </c>
      <c r="X571" t="s">
        <v>42</v>
      </c>
      <c r="Y571" s="8">
        <v>0</v>
      </c>
      <c r="Z571">
        <v>0</v>
      </c>
      <c r="AA571">
        <v>0</v>
      </c>
      <c r="AB571" t="s">
        <v>659</v>
      </c>
      <c r="AC571" s="5">
        <v>1998</v>
      </c>
      <c r="AD571" s="1">
        <v>2020</v>
      </c>
      <c r="AE571" s="6">
        <f t="shared" si="12"/>
        <v>22</v>
      </c>
      <c r="AF571">
        <v>23</v>
      </c>
      <c r="AG571" t="s">
        <v>64</v>
      </c>
      <c r="AH571" s="1" t="s">
        <v>64</v>
      </c>
    </row>
    <row r="572" spans="1:34" ht="15" customHeight="1">
      <c r="A572" t="s">
        <v>973</v>
      </c>
      <c r="B572" t="s">
        <v>974</v>
      </c>
      <c r="C572" s="1">
        <v>3</v>
      </c>
      <c r="D572" t="s">
        <v>604</v>
      </c>
      <c r="E572" t="s">
        <v>397</v>
      </c>
      <c r="F572" t="s">
        <v>123</v>
      </c>
      <c r="G572" t="s">
        <v>40</v>
      </c>
      <c r="H572" t="s">
        <v>975</v>
      </c>
      <c r="I572" t="s">
        <v>42</v>
      </c>
      <c r="J572" t="s">
        <v>42</v>
      </c>
      <c r="K572" t="s">
        <v>976</v>
      </c>
      <c r="L572" t="s">
        <v>42</v>
      </c>
      <c r="M572" s="1" t="s">
        <v>42</v>
      </c>
      <c r="N572" s="39" t="s">
        <v>430</v>
      </c>
      <c r="O572" t="s">
        <v>86</v>
      </c>
      <c r="P572" s="39" t="s">
        <v>431</v>
      </c>
      <c r="Q572" t="s">
        <v>42</v>
      </c>
      <c r="R572" t="s">
        <v>42</v>
      </c>
      <c r="S572" t="s">
        <v>978</v>
      </c>
      <c r="T572" t="s">
        <v>42</v>
      </c>
      <c r="U572" t="s">
        <v>42</v>
      </c>
      <c r="V572" t="s">
        <v>42</v>
      </c>
      <c r="W572" s="8" t="s">
        <v>64</v>
      </c>
      <c r="X572" t="s">
        <v>42</v>
      </c>
      <c r="Y572" s="8">
        <v>0</v>
      </c>
      <c r="Z572">
        <v>0</v>
      </c>
      <c r="AA572">
        <v>0</v>
      </c>
      <c r="AB572" t="s">
        <v>659</v>
      </c>
      <c r="AC572" s="5">
        <v>1998</v>
      </c>
      <c r="AD572" s="1">
        <v>2020</v>
      </c>
      <c r="AE572" s="6">
        <f t="shared" si="12"/>
        <v>22</v>
      </c>
      <c r="AF572">
        <v>23</v>
      </c>
      <c r="AG572" t="s">
        <v>64</v>
      </c>
      <c r="AH572" s="1" t="s">
        <v>64</v>
      </c>
    </row>
    <row r="573" spans="1:34" ht="15" customHeight="1">
      <c r="A573" t="s">
        <v>973</v>
      </c>
      <c r="B573" t="s">
        <v>974</v>
      </c>
      <c r="C573" s="1">
        <v>4</v>
      </c>
      <c r="D573" t="s">
        <v>604</v>
      </c>
      <c r="E573" t="s">
        <v>38</v>
      </c>
      <c r="F573" t="s">
        <v>123</v>
      </c>
      <c r="G573" t="s">
        <v>40</v>
      </c>
      <c r="H573" t="s">
        <v>975</v>
      </c>
      <c r="I573" t="s">
        <v>42</v>
      </c>
      <c r="J573" t="s">
        <v>42</v>
      </c>
      <c r="K573" t="s">
        <v>976</v>
      </c>
      <c r="L573" t="s">
        <v>42</v>
      </c>
      <c r="M573" s="1" t="s">
        <v>42</v>
      </c>
      <c r="N573" s="39" t="s">
        <v>52</v>
      </c>
      <c r="O573" t="s">
        <v>86</v>
      </c>
      <c r="P573" s="39" t="s">
        <v>979</v>
      </c>
      <c r="Q573" t="s">
        <v>977</v>
      </c>
      <c r="S573" t="s">
        <v>980</v>
      </c>
      <c r="T573" t="s">
        <v>42</v>
      </c>
      <c r="U573" t="s">
        <v>42</v>
      </c>
      <c r="V573" t="s">
        <v>42</v>
      </c>
      <c r="W573" s="8" t="s">
        <v>64</v>
      </c>
      <c r="X573" t="s">
        <v>42</v>
      </c>
      <c r="Y573" s="8">
        <v>0</v>
      </c>
      <c r="Z573">
        <v>0</v>
      </c>
      <c r="AA573">
        <v>0</v>
      </c>
      <c r="AB573" t="s">
        <v>659</v>
      </c>
      <c r="AC573" s="5">
        <v>1998</v>
      </c>
      <c r="AD573" s="1">
        <v>2020</v>
      </c>
      <c r="AE573" s="6">
        <f t="shared" si="12"/>
        <v>22</v>
      </c>
      <c r="AF573">
        <v>23</v>
      </c>
      <c r="AG573" t="s">
        <v>64</v>
      </c>
      <c r="AH573" s="1" t="s">
        <v>64</v>
      </c>
    </row>
    <row r="574" spans="1:34" ht="15" customHeight="1">
      <c r="A574" t="s">
        <v>973</v>
      </c>
      <c r="B574" t="s">
        <v>974</v>
      </c>
      <c r="C574" s="1">
        <v>5</v>
      </c>
      <c r="D574" t="s">
        <v>604</v>
      </c>
      <c r="E574" t="s">
        <v>38</v>
      </c>
      <c r="F574" t="s">
        <v>123</v>
      </c>
      <c r="G574" t="s">
        <v>40</v>
      </c>
      <c r="H574" t="s">
        <v>975</v>
      </c>
      <c r="I574" t="s">
        <v>42</v>
      </c>
      <c r="J574" t="s">
        <v>42</v>
      </c>
      <c r="K574" t="s">
        <v>976</v>
      </c>
      <c r="L574" t="s">
        <v>42</v>
      </c>
      <c r="M574" s="1" t="s">
        <v>42</v>
      </c>
      <c r="N574" s="39" t="s">
        <v>52</v>
      </c>
      <c r="O574" t="s">
        <v>86</v>
      </c>
      <c r="P574" s="39" t="s">
        <v>981</v>
      </c>
      <c r="Q574" t="s">
        <v>977</v>
      </c>
      <c r="S574" t="s">
        <v>980</v>
      </c>
      <c r="T574" t="s">
        <v>42</v>
      </c>
      <c r="U574" t="s">
        <v>42</v>
      </c>
      <c r="V574" t="s">
        <v>42</v>
      </c>
      <c r="W574" s="8" t="s">
        <v>64</v>
      </c>
      <c r="X574" t="s">
        <v>42</v>
      </c>
      <c r="Y574" s="8">
        <v>0</v>
      </c>
      <c r="Z574">
        <v>0</v>
      </c>
      <c r="AA574">
        <v>0</v>
      </c>
      <c r="AB574" t="s">
        <v>659</v>
      </c>
      <c r="AC574" s="5">
        <v>1998</v>
      </c>
      <c r="AD574" s="1">
        <v>2020</v>
      </c>
      <c r="AE574" s="6">
        <f t="shared" si="12"/>
        <v>22</v>
      </c>
      <c r="AF574">
        <v>23</v>
      </c>
      <c r="AG574" t="s">
        <v>64</v>
      </c>
      <c r="AH574" s="1" t="s">
        <v>64</v>
      </c>
    </row>
    <row r="575" spans="1:34" ht="15" customHeight="1">
      <c r="A575" t="s">
        <v>973</v>
      </c>
      <c r="B575" t="s">
        <v>974</v>
      </c>
      <c r="C575" s="1">
        <v>6</v>
      </c>
      <c r="D575" t="s">
        <v>604</v>
      </c>
      <c r="E575" t="s">
        <v>38</v>
      </c>
      <c r="F575" t="s">
        <v>123</v>
      </c>
      <c r="G575" t="s">
        <v>40</v>
      </c>
      <c r="H575" t="s">
        <v>975</v>
      </c>
      <c r="I575" t="s">
        <v>42</v>
      </c>
      <c r="J575" t="s">
        <v>42</v>
      </c>
      <c r="K575" t="s">
        <v>976</v>
      </c>
      <c r="L575" t="s">
        <v>42</v>
      </c>
      <c r="M575" s="1" t="s">
        <v>42</v>
      </c>
      <c r="N575" s="39" t="s">
        <v>52</v>
      </c>
      <c r="O575" t="s">
        <v>86</v>
      </c>
      <c r="P575" s="39" t="s">
        <v>982</v>
      </c>
      <c r="Q575" t="s">
        <v>977</v>
      </c>
      <c r="S575" t="s">
        <v>980</v>
      </c>
      <c r="T575" t="s">
        <v>42</v>
      </c>
      <c r="U575" t="s">
        <v>42</v>
      </c>
      <c r="V575" t="s">
        <v>42</v>
      </c>
      <c r="W575" s="8" t="s">
        <v>64</v>
      </c>
      <c r="X575" t="s">
        <v>42</v>
      </c>
      <c r="Y575" s="8">
        <v>0</v>
      </c>
      <c r="Z575">
        <v>0</v>
      </c>
      <c r="AA575">
        <v>0</v>
      </c>
      <c r="AB575" t="s">
        <v>659</v>
      </c>
      <c r="AC575" s="5">
        <v>1998</v>
      </c>
      <c r="AD575" s="1">
        <v>2020</v>
      </c>
      <c r="AE575" s="6">
        <f t="shared" si="12"/>
        <v>22</v>
      </c>
      <c r="AF575">
        <v>23</v>
      </c>
      <c r="AG575" t="s">
        <v>64</v>
      </c>
      <c r="AH575" s="1" t="s">
        <v>64</v>
      </c>
    </row>
    <row r="576" spans="1:34" ht="15" customHeight="1">
      <c r="A576" t="s">
        <v>973</v>
      </c>
      <c r="B576" t="s">
        <v>974</v>
      </c>
      <c r="C576" s="1">
        <v>7</v>
      </c>
      <c r="D576" t="s">
        <v>604</v>
      </c>
      <c r="E576" t="s">
        <v>397</v>
      </c>
      <c r="F576" t="s">
        <v>123</v>
      </c>
      <c r="G576" t="s">
        <v>40</v>
      </c>
      <c r="H576" t="s">
        <v>975</v>
      </c>
      <c r="I576" t="s">
        <v>42</v>
      </c>
      <c r="J576" t="s">
        <v>42</v>
      </c>
      <c r="K576" t="s">
        <v>976</v>
      </c>
      <c r="L576" t="s">
        <v>42</v>
      </c>
      <c r="M576" s="1" t="s">
        <v>42</v>
      </c>
      <c r="N576" s="39" t="s">
        <v>506</v>
      </c>
      <c r="O576" t="s">
        <v>86</v>
      </c>
      <c r="P576" s="39" t="s">
        <v>983</v>
      </c>
      <c r="Q576" t="s">
        <v>42</v>
      </c>
      <c r="R576" t="s">
        <v>42</v>
      </c>
      <c r="S576" t="s">
        <v>984</v>
      </c>
      <c r="T576" t="s">
        <v>42</v>
      </c>
      <c r="U576" t="s">
        <v>42</v>
      </c>
      <c r="V576" t="s">
        <v>42</v>
      </c>
      <c r="W576" s="8" t="s">
        <v>64</v>
      </c>
      <c r="X576" t="s">
        <v>42</v>
      </c>
      <c r="Y576" s="8">
        <v>0</v>
      </c>
      <c r="Z576">
        <v>0</v>
      </c>
      <c r="AA576">
        <v>0</v>
      </c>
      <c r="AB576" t="s">
        <v>659</v>
      </c>
      <c r="AC576" s="5">
        <v>1998</v>
      </c>
      <c r="AD576" s="1">
        <v>2020</v>
      </c>
      <c r="AE576" s="6">
        <f t="shared" si="12"/>
        <v>22</v>
      </c>
      <c r="AF576">
        <v>23</v>
      </c>
      <c r="AG576" t="s">
        <v>64</v>
      </c>
      <c r="AH576" s="1" t="s">
        <v>64</v>
      </c>
    </row>
    <row r="577" spans="1:34" ht="15" customHeight="1">
      <c r="A577" t="s">
        <v>973</v>
      </c>
      <c r="B577" t="s">
        <v>974</v>
      </c>
      <c r="C577" s="1">
        <v>8</v>
      </c>
      <c r="D577" t="s">
        <v>604</v>
      </c>
      <c r="E577" t="s">
        <v>397</v>
      </c>
      <c r="F577" t="s">
        <v>123</v>
      </c>
      <c r="G577" t="s">
        <v>40</v>
      </c>
      <c r="H577" t="s">
        <v>975</v>
      </c>
      <c r="I577" t="s">
        <v>42</v>
      </c>
      <c r="J577" t="s">
        <v>42</v>
      </c>
      <c r="K577" t="s">
        <v>976</v>
      </c>
      <c r="L577" t="s">
        <v>42</v>
      </c>
      <c r="M577" s="1" t="s">
        <v>42</v>
      </c>
      <c r="N577" s="39" t="s">
        <v>506</v>
      </c>
      <c r="O577" t="s">
        <v>86</v>
      </c>
      <c r="P577" s="39" t="s">
        <v>985</v>
      </c>
      <c r="Q577" t="s">
        <v>42</v>
      </c>
      <c r="R577" t="s">
        <v>42</v>
      </c>
      <c r="S577" t="s">
        <v>986</v>
      </c>
      <c r="T577" t="s">
        <v>42</v>
      </c>
      <c r="U577" t="s">
        <v>42</v>
      </c>
      <c r="V577" t="s">
        <v>42</v>
      </c>
      <c r="W577" s="8" t="s">
        <v>64</v>
      </c>
      <c r="X577" t="s">
        <v>42</v>
      </c>
      <c r="Y577" s="8">
        <v>0</v>
      </c>
      <c r="Z577">
        <v>0</v>
      </c>
      <c r="AA577">
        <v>0</v>
      </c>
      <c r="AB577" t="s">
        <v>659</v>
      </c>
      <c r="AC577" s="5">
        <v>1998</v>
      </c>
      <c r="AD577" s="1">
        <v>2020</v>
      </c>
      <c r="AE577" s="6">
        <f t="shared" si="12"/>
        <v>22</v>
      </c>
      <c r="AF577">
        <v>23</v>
      </c>
      <c r="AG577" t="s">
        <v>64</v>
      </c>
      <c r="AH577" s="1" t="s">
        <v>64</v>
      </c>
    </row>
    <row r="578" spans="1:34" ht="15" customHeight="1">
      <c r="A578" t="s">
        <v>973</v>
      </c>
      <c r="B578" t="s">
        <v>974</v>
      </c>
      <c r="C578" s="1">
        <v>9</v>
      </c>
      <c r="D578" t="s">
        <v>604</v>
      </c>
      <c r="E578" t="s">
        <v>397</v>
      </c>
      <c r="F578" t="s">
        <v>123</v>
      </c>
      <c r="G578" t="s">
        <v>40</v>
      </c>
      <c r="H578" t="s">
        <v>975</v>
      </c>
      <c r="I578" t="s">
        <v>42</v>
      </c>
      <c r="J578" t="s">
        <v>42</v>
      </c>
      <c r="K578" t="s">
        <v>976</v>
      </c>
      <c r="L578" t="s">
        <v>42</v>
      </c>
      <c r="M578" s="1" t="s">
        <v>42</v>
      </c>
      <c r="N578" s="39" t="s">
        <v>506</v>
      </c>
      <c r="O578" t="s">
        <v>86</v>
      </c>
      <c r="P578" s="39" t="s">
        <v>987</v>
      </c>
      <c r="Q578" t="s">
        <v>42</v>
      </c>
      <c r="R578" t="s">
        <v>42</v>
      </c>
      <c r="S578" t="s">
        <v>984</v>
      </c>
      <c r="T578" t="s">
        <v>42</v>
      </c>
      <c r="U578" t="s">
        <v>42</v>
      </c>
      <c r="V578" t="s">
        <v>42</v>
      </c>
      <c r="W578" s="8" t="s">
        <v>64</v>
      </c>
      <c r="X578" t="s">
        <v>42</v>
      </c>
      <c r="Y578" s="8">
        <v>0</v>
      </c>
      <c r="Z578">
        <v>0</v>
      </c>
      <c r="AA578">
        <v>0</v>
      </c>
      <c r="AB578" t="s">
        <v>659</v>
      </c>
      <c r="AC578" s="5">
        <v>1998</v>
      </c>
      <c r="AD578" s="1">
        <v>2020</v>
      </c>
      <c r="AE578" s="6">
        <f t="shared" si="12"/>
        <v>22</v>
      </c>
      <c r="AF578">
        <v>23</v>
      </c>
      <c r="AG578" t="s">
        <v>64</v>
      </c>
      <c r="AH578" s="1" t="s">
        <v>64</v>
      </c>
    </row>
    <row r="579" spans="1:34" ht="15" customHeight="1">
      <c r="A579" t="s">
        <v>973</v>
      </c>
      <c r="B579" t="s">
        <v>974</v>
      </c>
      <c r="C579" s="1">
        <v>10</v>
      </c>
      <c r="D579" t="s">
        <v>604</v>
      </c>
      <c r="E579" t="s">
        <v>397</v>
      </c>
      <c r="F579" t="s">
        <v>116</v>
      </c>
      <c r="G579" t="s">
        <v>40</v>
      </c>
      <c r="H579" t="s">
        <v>42</v>
      </c>
      <c r="I579" t="s">
        <v>42</v>
      </c>
      <c r="J579" t="s">
        <v>42</v>
      </c>
      <c r="K579" t="s">
        <v>976</v>
      </c>
      <c r="L579" t="s">
        <v>42</v>
      </c>
      <c r="M579" s="1" t="s">
        <v>42</v>
      </c>
      <c r="N579" s="39" t="s">
        <v>463</v>
      </c>
      <c r="O579" t="s">
        <v>86</v>
      </c>
      <c r="P579" s="39" t="s">
        <v>988</v>
      </c>
      <c r="Q579" t="s">
        <v>42</v>
      </c>
      <c r="R579" t="s">
        <v>42</v>
      </c>
      <c r="S579" t="s">
        <v>980</v>
      </c>
      <c r="T579" t="s">
        <v>42</v>
      </c>
      <c r="U579" t="s">
        <v>42</v>
      </c>
      <c r="V579" t="s">
        <v>42</v>
      </c>
      <c r="W579" s="8" t="s">
        <v>64</v>
      </c>
      <c r="X579" t="s">
        <v>42</v>
      </c>
      <c r="Y579" s="8">
        <v>0</v>
      </c>
      <c r="Z579">
        <v>0</v>
      </c>
      <c r="AA579">
        <v>0</v>
      </c>
      <c r="AB579" t="s">
        <v>659</v>
      </c>
      <c r="AC579" s="5">
        <v>1998</v>
      </c>
      <c r="AD579" s="1">
        <v>2020</v>
      </c>
      <c r="AE579" s="6">
        <f t="shared" si="12"/>
        <v>22</v>
      </c>
      <c r="AF579">
        <v>23</v>
      </c>
      <c r="AG579" t="s">
        <v>64</v>
      </c>
      <c r="AH579" s="1" t="s">
        <v>64</v>
      </c>
    </row>
    <row r="580" spans="1:34" s="9" customFormat="1" ht="15" customHeight="1">
      <c r="A580" s="9" t="s">
        <v>973</v>
      </c>
      <c r="B580" s="9" t="s">
        <v>974</v>
      </c>
      <c r="C580" s="10">
        <v>11</v>
      </c>
      <c r="D580" s="9" t="s">
        <v>604</v>
      </c>
      <c r="E580" s="9" t="s">
        <v>397</v>
      </c>
      <c r="F580" s="9" t="s">
        <v>116</v>
      </c>
      <c r="G580" s="9" t="s">
        <v>40</v>
      </c>
      <c r="H580" s="9" t="s">
        <v>42</v>
      </c>
      <c r="I580" s="9" t="s">
        <v>42</v>
      </c>
      <c r="J580" s="9" t="s">
        <v>42</v>
      </c>
      <c r="K580" s="9" t="s">
        <v>976</v>
      </c>
      <c r="L580" s="9" t="s">
        <v>42</v>
      </c>
      <c r="M580" s="10" t="s">
        <v>42</v>
      </c>
      <c r="N580" s="40" t="s">
        <v>463</v>
      </c>
      <c r="O580" s="9" t="s">
        <v>86</v>
      </c>
      <c r="P580" s="40" t="s">
        <v>989</v>
      </c>
      <c r="Q580" s="9" t="s">
        <v>42</v>
      </c>
      <c r="R580" s="9" t="s">
        <v>42</v>
      </c>
      <c r="S580" s="9" t="s">
        <v>980</v>
      </c>
      <c r="T580" s="9" t="s">
        <v>42</v>
      </c>
      <c r="U580" s="9" t="s">
        <v>42</v>
      </c>
      <c r="V580" s="9" t="s">
        <v>42</v>
      </c>
      <c r="W580" s="11" t="s">
        <v>64</v>
      </c>
      <c r="X580" s="9" t="s">
        <v>42</v>
      </c>
      <c r="Y580" s="11">
        <v>0</v>
      </c>
      <c r="Z580" s="9">
        <v>0</v>
      </c>
      <c r="AA580" s="9">
        <v>0</v>
      </c>
      <c r="AB580" s="9" t="s">
        <v>659</v>
      </c>
      <c r="AC580" s="12">
        <v>1998</v>
      </c>
      <c r="AD580" s="10">
        <v>2020</v>
      </c>
      <c r="AE580" s="13">
        <f t="shared" si="12"/>
        <v>22</v>
      </c>
      <c r="AF580" s="9">
        <v>23</v>
      </c>
      <c r="AG580" s="9" t="s">
        <v>64</v>
      </c>
      <c r="AH580" s="10" t="s">
        <v>64</v>
      </c>
    </row>
    <row r="581" spans="1:34" ht="15" customHeight="1">
      <c r="A581" t="s">
        <v>990</v>
      </c>
      <c r="B581" t="s">
        <v>991</v>
      </c>
      <c r="C581" s="1">
        <v>1</v>
      </c>
      <c r="D581" t="s">
        <v>426</v>
      </c>
      <c r="E581" t="s">
        <v>426</v>
      </c>
      <c r="F581" t="s">
        <v>123</v>
      </c>
      <c r="G581" t="s">
        <v>184</v>
      </c>
      <c r="H581" t="s">
        <v>503</v>
      </c>
      <c r="I581" t="s">
        <v>427</v>
      </c>
      <c r="J581" t="s">
        <v>42</v>
      </c>
      <c r="K581" t="s">
        <v>992</v>
      </c>
      <c r="L581" t="s">
        <v>42</v>
      </c>
      <c r="M581" s="1" t="s">
        <v>42</v>
      </c>
      <c r="N581" s="39" t="s">
        <v>430</v>
      </c>
      <c r="O581" t="s">
        <v>187</v>
      </c>
      <c r="P581" s="39" t="s">
        <v>431</v>
      </c>
      <c r="Q581" t="s">
        <v>42</v>
      </c>
      <c r="R581" t="s">
        <v>42</v>
      </c>
      <c r="S581" t="s">
        <v>42</v>
      </c>
      <c r="T581" t="s">
        <v>42</v>
      </c>
      <c r="U581" t="s">
        <v>993</v>
      </c>
      <c r="V581" t="s">
        <v>42</v>
      </c>
      <c r="W581" s="8" t="s">
        <v>64</v>
      </c>
      <c r="X581" t="s">
        <v>42</v>
      </c>
      <c r="Y581" s="8">
        <v>0</v>
      </c>
      <c r="Z581">
        <v>0</v>
      </c>
      <c r="AA581">
        <v>0</v>
      </c>
      <c r="AB581">
        <v>2</v>
      </c>
      <c r="AC581" s="5">
        <v>2008</v>
      </c>
      <c r="AD581" s="1">
        <v>2009</v>
      </c>
      <c r="AE581" s="6">
        <v>1</v>
      </c>
      <c r="AF581">
        <v>1</v>
      </c>
      <c r="AG581" t="s">
        <v>64</v>
      </c>
      <c r="AH581" s="1" t="s">
        <v>64</v>
      </c>
    </row>
    <row r="582" spans="1:34" ht="15" customHeight="1">
      <c r="A582" t="s">
        <v>990</v>
      </c>
      <c r="B582" t="s">
        <v>991</v>
      </c>
      <c r="C582" s="1">
        <v>2</v>
      </c>
      <c r="D582" t="s">
        <v>426</v>
      </c>
      <c r="E582" t="s">
        <v>426</v>
      </c>
      <c r="F582" t="s">
        <v>123</v>
      </c>
      <c r="G582" t="s">
        <v>184</v>
      </c>
      <c r="H582" t="s">
        <v>503</v>
      </c>
      <c r="I582" t="s">
        <v>427</v>
      </c>
      <c r="J582" t="s">
        <v>42</v>
      </c>
      <c r="K582" t="s">
        <v>992</v>
      </c>
      <c r="L582" t="s">
        <v>42</v>
      </c>
      <c r="M582" s="1" t="s">
        <v>42</v>
      </c>
      <c r="N582" s="39" t="s">
        <v>430</v>
      </c>
      <c r="O582" t="s">
        <v>187</v>
      </c>
      <c r="P582" s="39" t="s">
        <v>434</v>
      </c>
      <c r="Q582" t="s">
        <v>42</v>
      </c>
      <c r="R582" t="s">
        <v>42</v>
      </c>
      <c r="S582" t="s">
        <v>42</v>
      </c>
      <c r="T582" t="s">
        <v>42</v>
      </c>
      <c r="U582" t="s">
        <v>993</v>
      </c>
      <c r="V582" t="s">
        <v>42</v>
      </c>
      <c r="W582" s="8" t="s">
        <v>64</v>
      </c>
      <c r="X582" t="s">
        <v>42</v>
      </c>
      <c r="Y582" s="8">
        <v>0</v>
      </c>
      <c r="Z582">
        <v>0</v>
      </c>
      <c r="AA582">
        <v>0</v>
      </c>
      <c r="AB582">
        <v>2</v>
      </c>
      <c r="AC582" s="5">
        <v>2008</v>
      </c>
      <c r="AD582" s="1">
        <v>2009</v>
      </c>
      <c r="AE582" s="6">
        <v>1</v>
      </c>
      <c r="AF582">
        <v>1</v>
      </c>
      <c r="AG582" t="s">
        <v>64</v>
      </c>
      <c r="AH582" s="1" t="s">
        <v>64</v>
      </c>
    </row>
    <row r="583" spans="1:34" ht="15" customHeight="1">
      <c r="A583" t="s">
        <v>990</v>
      </c>
      <c r="B583" t="s">
        <v>991</v>
      </c>
      <c r="C583" s="1">
        <v>3</v>
      </c>
      <c r="D583" t="s">
        <v>426</v>
      </c>
      <c r="E583" t="s">
        <v>426</v>
      </c>
      <c r="F583" t="s">
        <v>123</v>
      </c>
      <c r="G583" t="s">
        <v>184</v>
      </c>
      <c r="H583" t="s">
        <v>503</v>
      </c>
      <c r="I583" t="s">
        <v>427</v>
      </c>
      <c r="J583" t="s">
        <v>42</v>
      </c>
      <c r="K583" t="s">
        <v>992</v>
      </c>
      <c r="L583" t="s">
        <v>42</v>
      </c>
      <c r="M583" s="1" t="s">
        <v>42</v>
      </c>
      <c r="N583" s="39" t="s">
        <v>430</v>
      </c>
      <c r="O583" t="s">
        <v>187</v>
      </c>
      <c r="P583" s="39" t="s">
        <v>435</v>
      </c>
      <c r="Q583" t="s">
        <v>42</v>
      </c>
      <c r="R583" t="s">
        <v>42</v>
      </c>
      <c r="S583" t="s">
        <v>42</v>
      </c>
      <c r="T583" t="s">
        <v>42</v>
      </c>
      <c r="U583" t="s">
        <v>993</v>
      </c>
      <c r="V583" t="s">
        <v>42</v>
      </c>
      <c r="W583" s="8" t="s">
        <v>64</v>
      </c>
      <c r="X583" t="s">
        <v>42</v>
      </c>
      <c r="Y583" s="8">
        <v>0</v>
      </c>
      <c r="Z583">
        <v>0</v>
      </c>
      <c r="AA583">
        <v>0</v>
      </c>
      <c r="AB583">
        <v>2</v>
      </c>
      <c r="AC583" s="5">
        <v>2008</v>
      </c>
      <c r="AD583" s="1">
        <v>2009</v>
      </c>
      <c r="AE583" s="6">
        <v>1</v>
      </c>
      <c r="AF583">
        <v>1</v>
      </c>
      <c r="AG583" t="s">
        <v>64</v>
      </c>
      <c r="AH583" s="1" t="s">
        <v>64</v>
      </c>
    </row>
    <row r="584" spans="1:34" ht="15" customHeight="1">
      <c r="A584" t="s">
        <v>990</v>
      </c>
      <c r="B584" t="s">
        <v>991</v>
      </c>
      <c r="C584" s="1">
        <v>4</v>
      </c>
      <c r="D584" t="s">
        <v>426</v>
      </c>
      <c r="E584" t="s">
        <v>426</v>
      </c>
      <c r="F584" t="s">
        <v>123</v>
      </c>
      <c r="G584" t="s">
        <v>184</v>
      </c>
      <c r="H584" t="s">
        <v>503</v>
      </c>
      <c r="I584" t="s">
        <v>427</v>
      </c>
      <c r="J584" t="s">
        <v>42</v>
      </c>
      <c r="K584" t="s">
        <v>992</v>
      </c>
      <c r="L584" t="s">
        <v>42</v>
      </c>
      <c r="M584" s="1" t="s">
        <v>42</v>
      </c>
      <c r="N584" s="39" t="s">
        <v>430</v>
      </c>
      <c r="O584" t="s">
        <v>187</v>
      </c>
      <c r="P584" s="39" t="s">
        <v>493</v>
      </c>
      <c r="Q584" t="s">
        <v>42</v>
      </c>
      <c r="R584" t="s">
        <v>42</v>
      </c>
      <c r="S584" t="s">
        <v>42</v>
      </c>
      <c r="T584" t="s">
        <v>42</v>
      </c>
      <c r="U584" t="s">
        <v>993</v>
      </c>
      <c r="V584" t="s">
        <v>42</v>
      </c>
      <c r="W584" s="8" t="s">
        <v>64</v>
      </c>
      <c r="X584" t="s">
        <v>42</v>
      </c>
      <c r="Y584" s="8">
        <v>0</v>
      </c>
      <c r="Z584">
        <v>0</v>
      </c>
      <c r="AA584">
        <v>0</v>
      </c>
      <c r="AB584">
        <v>2</v>
      </c>
      <c r="AC584" s="5">
        <v>2008</v>
      </c>
      <c r="AD584" s="1">
        <v>2009</v>
      </c>
      <c r="AE584" s="6">
        <v>1</v>
      </c>
      <c r="AF584">
        <v>1</v>
      </c>
      <c r="AG584" t="s">
        <v>64</v>
      </c>
      <c r="AH584" s="1" t="s">
        <v>64</v>
      </c>
    </row>
    <row r="585" spans="1:34" ht="15" customHeight="1">
      <c r="A585" t="s">
        <v>990</v>
      </c>
      <c r="B585" t="s">
        <v>991</v>
      </c>
      <c r="C585" s="1">
        <v>5</v>
      </c>
      <c r="D585" t="s">
        <v>426</v>
      </c>
      <c r="E585" t="s">
        <v>426</v>
      </c>
      <c r="F585" t="s">
        <v>123</v>
      </c>
      <c r="G585" t="s">
        <v>184</v>
      </c>
      <c r="H585" t="s">
        <v>503</v>
      </c>
      <c r="I585" t="s">
        <v>427</v>
      </c>
      <c r="J585" t="s">
        <v>42</v>
      </c>
      <c r="K585" t="s">
        <v>992</v>
      </c>
      <c r="L585" t="s">
        <v>42</v>
      </c>
      <c r="M585" s="1" t="s">
        <v>42</v>
      </c>
      <c r="N585" s="39" t="s">
        <v>430</v>
      </c>
      <c r="O585" t="s">
        <v>187</v>
      </c>
      <c r="P585" s="39" t="s">
        <v>473</v>
      </c>
      <c r="Q585" t="s">
        <v>42</v>
      </c>
      <c r="R585" t="s">
        <v>42</v>
      </c>
      <c r="S585" t="s">
        <v>42</v>
      </c>
      <c r="T585" t="s">
        <v>42</v>
      </c>
      <c r="U585" t="s">
        <v>993</v>
      </c>
      <c r="V585" t="s">
        <v>42</v>
      </c>
      <c r="W585" s="8" t="s">
        <v>64</v>
      </c>
      <c r="X585" t="s">
        <v>42</v>
      </c>
      <c r="Y585" s="8">
        <v>0</v>
      </c>
      <c r="Z585">
        <v>0</v>
      </c>
      <c r="AA585">
        <v>0</v>
      </c>
      <c r="AB585">
        <v>2</v>
      </c>
      <c r="AC585" s="5">
        <v>2008</v>
      </c>
      <c r="AD585" s="1">
        <v>2009</v>
      </c>
      <c r="AE585" s="6">
        <v>1</v>
      </c>
      <c r="AF585">
        <v>1</v>
      </c>
      <c r="AG585" t="s">
        <v>64</v>
      </c>
      <c r="AH585" s="1" t="s">
        <v>64</v>
      </c>
    </row>
    <row r="586" spans="1:34" ht="15" customHeight="1">
      <c r="A586" t="s">
        <v>990</v>
      </c>
      <c r="B586" t="s">
        <v>991</v>
      </c>
      <c r="C586" s="1">
        <v>6</v>
      </c>
      <c r="D586" t="s">
        <v>426</v>
      </c>
      <c r="E586" t="s">
        <v>426</v>
      </c>
      <c r="F586" t="s">
        <v>123</v>
      </c>
      <c r="G586" t="s">
        <v>184</v>
      </c>
      <c r="H586" t="s">
        <v>503</v>
      </c>
      <c r="I586" t="s">
        <v>427</v>
      </c>
      <c r="J586" t="s">
        <v>42</v>
      </c>
      <c r="K586" t="s">
        <v>992</v>
      </c>
      <c r="L586" t="s">
        <v>42</v>
      </c>
      <c r="M586" s="1" t="s">
        <v>42</v>
      </c>
      <c r="N586" s="39" t="s">
        <v>430</v>
      </c>
      <c r="O586" t="s">
        <v>187</v>
      </c>
      <c r="P586" s="39" t="s">
        <v>459</v>
      </c>
      <c r="Q586" t="s">
        <v>42</v>
      </c>
      <c r="R586" t="s">
        <v>42</v>
      </c>
      <c r="S586" t="s">
        <v>42</v>
      </c>
      <c r="T586" t="s">
        <v>42</v>
      </c>
      <c r="U586" t="s">
        <v>993</v>
      </c>
      <c r="V586" t="s">
        <v>42</v>
      </c>
      <c r="W586" s="8" t="s">
        <v>64</v>
      </c>
      <c r="X586" t="s">
        <v>42</v>
      </c>
      <c r="Y586" s="8">
        <v>0</v>
      </c>
      <c r="Z586">
        <v>0</v>
      </c>
      <c r="AA586">
        <v>0</v>
      </c>
      <c r="AB586">
        <v>2</v>
      </c>
      <c r="AC586" s="5">
        <v>2008</v>
      </c>
      <c r="AD586" s="1">
        <v>2009</v>
      </c>
      <c r="AE586" s="6">
        <v>1</v>
      </c>
      <c r="AF586">
        <v>1</v>
      </c>
      <c r="AG586" t="s">
        <v>64</v>
      </c>
      <c r="AH586" s="1" t="s">
        <v>64</v>
      </c>
    </row>
    <row r="587" spans="1:34" s="9" customFormat="1" ht="15" customHeight="1">
      <c r="A587" s="9" t="s">
        <v>990</v>
      </c>
      <c r="B587" s="9" t="s">
        <v>991</v>
      </c>
      <c r="C587" s="10">
        <v>7</v>
      </c>
      <c r="D587" s="9" t="s">
        <v>426</v>
      </c>
      <c r="E587" s="9" t="s">
        <v>426</v>
      </c>
      <c r="F587" s="9" t="s">
        <v>123</v>
      </c>
      <c r="G587" s="9" t="s">
        <v>184</v>
      </c>
      <c r="H587" t="s">
        <v>503</v>
      </c>
      <c r="I587" s="9" t="s">
        <v>427</v>
      </c>
      <c r="J587" s="9" t="s">
        <v>42</v>
      </c>
      <c r="K587" s="9" t="s">
        <v>992</v>
      </c>
      <c r="L587" s="9" t="s">
        <v>42</v>
      </c>
      <c r="M587" s="10" t="s">
        <v>42</v>
      </c>
      <c r="N587" s="40" t="s">
        <v>430</v>
      </c>
      <c r="O587" s="9" t="s">
        <v>187</v>
      </c>
      <c r="P587" s="40" t="s">
        <v>456</v>
      </c>
      <c r="Q587" s="9" t="s">
        <v>42</v>
      </c>
      <c r="R587" s="9" t="s">
        <v>42</v>
      </c>
      <c r="S587" s="9" t="s">
        <v>42</v>
      </c>
      <c r="T587" s="9" t="s">
        <v>42</v>
      </c>
      <c r="U587" s="9" t="s">
        <v>993</v>
      </c>
      <c r="V587" s="9" t="s">
        <v>42</v>
      </c>
      <c r="W587" s="11" t="s">
        <v>64</v>
      </c>
      <c r="X587" s="9" t="s">
        <v>42</v>
      </c>
      <c r="Y587" s="11">
        <v>0</v>
      </c>
      <c r="Z587" s="9">
        <v>0</v>
      </c>
      <c r="AA587" s="9">
        <v>0</v>
      </c>
      <c r="AB587" s="9">
        <v>2</v>
      </c>
      <c r="AC587" s="12">
        <v>2008</v>
      </c>
      <c r="AD587" s="10">
        <v>2009</v>
      </c>
      <c r="AE587" s="13">
        <v>1</v>
      </c>
      <c r="AF587" s="9">
        <v>1</v>
      </c>
      <c r="AG587" s="9" t="s">
        <v>64</v>
      </c>
      <c r="AH587" s="10" t="s">
        <v>64</v>
      </c>
    </row>
    <row r="588" spans="1:34" ht="15" customHeight="1">
      <c r="A588" t="s">
        <v>994</v>
      </c>
      <c r="B588" t="s">
        <v>995</v>
      </c>
      <c r="C588" s="24">
        <v>1</v>
      </c>
      <c r="D588" t="s">
        <v>38</v>
      </c>
      <c r="E588" t="s">
        <v>38</v>
      </c>
      <c r="F588" t="s">
        <v>116</v>
      </c>
      <c r="G588" t="s">
        <v>40</v>
      </c>
      <c r="H588" t="s">
        <v>42</v>
      </c>
      <c r="I588" t="s">
        <v>42</v>
      </c>
      <c r="J588" t="s">
        <v>42</v>
      </c>
      <c r="K588" t="s">
        <v>996</v>
      </c>
      <c r="L588" t="s">
        <v>42</v>
      </c>
      <c r="M588" s="1" t="s">
        <v>42</v>
      </c>
      <c r="N588" s="39" t="s">
        <v>132</v>
      </c>
      <c r="O588" t="s">
        <v>86</v>
      </c>
      <c r="P588" s="39" t="s">
        <v>997</v>
      </c>
      <c r="Q588" t="s">
        <v>998</v>
      </c>
      <c r="R588" t="s">
        <v>870</v>
      </c>
      <c r="S588" t="s">
        <v>999</v>
      </c>
      <c r="T588" t="s">
        <v>42</v>
      </c>
      <c r="U588" t="s">
        <v>42</v>
      </c>
      <c r="V588" t="s">
        <v>42</v>
      </c>
      <c r="W588" s="8" t="s">
        <v>64</v>
      </c>
      <c r="X588" t="s">
        <v>42</v>
      </c>
      <c r="Y588" s="8">
        <v>1</v>
      </c>
      <c r="Z588">
        <v>0</v>
      </c>
      <c r="AA588">
        <v>0</v>
      </c>
      <c r="AB588">
        <v>0</v>
      </c>
      <c r="AC588" s="5">
        <v>2004</v>
      </c>
      <c r="AD588" s="1">
        <v>2016</v>
      </c>
      <c r="AE588" s="6">
        <f t="shared" ref="AE588:AE594" si="13">AD588-AC588</f>
        <v>12</v>
      </c>
      <c r="AF588">
        <v>13</v>
      </c>
      <c r="AG588" t="s">
        <v>64</v>
      </c>
      <c r="AH588" s="1" t="s">
        <v>64</v>
      </c>
    </row>
    <row r="589" spans="1:34" ht="15" customHeight="1">
      <c r="A589" t="s">
        <v>994</v>
      </c>
      <c r="B589" t="s">
        <v>995</v>
      </c>
      <c r="C589" s="24">
        <v>2</v>
      </c>
      <c r="D589" t="s">
        <v>38</v>
      </c>
      <c r="E589" t="s">
        <v>38</v>
      </c>
      <c r="F589" t="s">
        <v>116</v>
      </c>
      <c r="G589" t="s">
        <v>40</v>
      </c>
      <c r="H589" t="s">
        <v>42</v>
      </c>
      <c r="I589" t="s">
        <v>42</v>
      </c>
      <c r="J589" t="s">
        <v>42</v>
      </c>
      <c r="K589" t="s">
        <v>996</v>
      </c>
      <c r="L589" t="s">
        <v>42</v>
      </c>
      <c r="M589" s="1" t="s">
        <v>42</v>
      </c>
      <c r="N589" s="39" t="s">
        <v>132</v>
      </c>
      <c r="O589" t="s">
        <v>86</v>
      </c>
      <c r="P589" s="39" t="s">
        <v>1000</v>
      </c>
      <c r="Q589" t="s">
        <v>998</v>
      </c>
      <c r="R589" t="s">
        <v>870</v>
      </c>
      <c r="S589" t="s">
        <v>999</v>
      </c>
      <c r="T589" t="s">
        <v>42</v>
      </c>
      <c r="U589" t="s">
        <v>42</v>
      </c>
      <c r="V589" t="s">
        <v>42</v>
      </c>
      <c r="W589" s="8" t="s">
        <v>64</v>
      </c>
      <c r="X589" t="s">
        <v>42</v>
      </c>
      <c r="Y589" s="8">
        <v>1</v>
      </c>
      <c r="Z589">
        <v>0</v>
      </c>
      <c r="AA589">
        <v>0</v>
      </c>
      <c r="AB589">
        <v>0</v>
      </c>
      <c r="AC589" s="5">
        <v>2004</v>
      </c>
      <c r="AD589" s="1">
        <v>2016</v>
      </c>
      <c r="AE589" s="6">
        <f t="shared" si="13"/>
        <v>12</v>
      </c>
      <c r="AF589">
        <v>13</v>
      </c>
      <c r="AG589" t="s">
        <v>64</v>
      </c>
      <c r="AH589" s="1" t="s">
        <v>64</v>
      </c>
    </row>
    <row r="590" spans="1:34" ht="15" customHeight="1">
      <c r="A590" t="s">
        <v>994</v>
      </c>
      <c r="B590" t="s">
        <v>995</v>
      </c>
      <c r="C590" s="24">
        <v>3</v>
      </c>
      <c r="D590" t="s">
        <v>38</v>
      </c>
      <c r="E590" t="s">
        <v>38</v>
      </c>
      <c r="F590" t="s">
        <v>116</v>
      </c>
      <c r="G590" t="s">
        <v>40</v>
      </c>
      <c r="H590" t="s">
        <v>42</v>
      </c>
      <c r="I590" t="s">
        <v>42</v>
      </c>
      <c r="J590" t="s">
        <v>42</v>
      </c>
      <c r="K590" t="s">
        <v>996</v>
      </c>
      <c r="L590" t="s">
        <v>42</v>
      </c>
      <c r="M590" s="1" t="s">
        <v>42</v>
      </c>
      <c r="N590" s="39" t="s">
        <v>52</v>
      </c>
      <c r="O590" t="s">
        <v>44</v>
      </c>
      <c r="P590" s="39" t="s">
        <v>52</v>
      </c>
      <c r="Q590" t="s">
        <v>998</v>
      </c>
      <c r="R590" t="s">
        <v>870</v>
      </c>
      <c r="S590" t="s">
        <v>1001</v>
      </c>
      <c r="T590" t="s">
        <v>42</v>
      </c>
      <c r="U590" t="s">
        <v>42</v>
      </c>
      <c r="V590" t="s">
        <v>42</v>
      </c>
      <c r="W590" s="8" t="s">
        <v>50</v>
      </c>
      <c r="X590" t="s">
        <v>1002</v>
      </c>
      <c r="Y590" s="8">
        <v>1</v>
      </c>
      <c r="Z590">
        <v>0</v>
      </c>
      <c r="AA590">
        <v>0</v>
      </c>
      <c r="AB590">
        <v>0</v>
      </c>
      <c r="AC590" s="5">
        <v>2004</v>
      </c>
      <c r="AD590" s="1">
        <v>2016</v>
      </c>
      <c r="AE590" s="6">
        <f t="shared" si="13"/>
        <v>12</v>
      </c>
      <c r="AF590">
        <v>13</v>
      </c>
      <c r="AG590" t="s">
        <v>64</v>
      </c>
      <c r="AH590" s="1" t="s">
        <v>64</v>
      </c>
    </row>
    <row r="591" spans="1:34" ht="15" customHeight="1">
      <c r="A591" t="s">
        <v>994</v>
      </c>
      <c r="B591" t="s">
        <v>995</v>
      </c>
      <c r="C591" s="24">
        <v>4</v>
      </c>
      <c r="D591" t="s">
        <v>38</v>
      </c>
      <c r="E591" t="s">
        <v>38</v>
      </c>
      <c r="F591" t="s">
        <v>116</v>
      </c>
      <c r="G591" t="s">
        <v>40</v>
      </c>
      <c r="H591" t="s">
        <v>42</v>
      </c>
      <c r="I591" t="s">
        <v>42</v>
      </c>
      <c r="J591" t="s">
        <v>42</v>
      </c>
      <c r="K591" t="s">
        <v>996</v>
      </c>
      <c r="L591" t="s">
        <v>42</v>
      </c>
      <c r="M591" s="1" t="s">
        <v>42</v>
      </c>
      <c r="N591" s="39" t="s">
        <v>132</v>
      </c>
      <c r="O591" t="s">
        <v>44</v>
      </c>
      <c r="P591" s="39" t="s">
        <v>1003</v>
      </c>
      <c r="Q591" t="s">
        <v>998</v>
      </c>
      <c r="R591" t="s">
        <v>870</v>
      </c>
      <c r="S591" t="s">
        <v>1004</v>
      </c>
      <c r="T591" t="s">
        <v>42</v>
      </c>
      <c r="U591" t="s">
        <v>42</v>
      </c>
      <c r="V591" t="s">
        <v>42</v>
      </c>
      <c r="W591" s="8" t="s">
        <v>50</v>
      </c>
      <c r="X591" t="s">
        <v>1002</v>
      </c>
      <c r="Y591" s="8">
        <v>1</v>
      </c>
      <c r="Z591">
        <v>0</v>
      </c>
      <c r="AA591">
        <v>0</v>
      </c>
      <c r="AB591">
        <v>0</v>
      </c>
      <c r="AC591" s="5">
        <v>2004</v>
      </c>
      <c r="AD591" s="1">
        <v>2016</v>
      </c>
      <c r="AE591" s="6">
        <f t="shared" si="13"/>
        <v>12</v>
      </c>
      <c r="AF591">
        <v>13</v>
      </c>
      <c r="AG591" t="s">
        <v>64</v>
      </c>
      <c r="AH591" s="1" t="s">
        <v>64</v>
      </c>
    </row>
    <row r="592" spans="1:34" ht="15" customHeight="1">
      <c r="A592" t="s">
        <v>994</v>
      </c>
      <c r="B592" t="s">
        <v>995</v>
      </c>
      <c r="C592" s="24">
        <v>5</v>
      </c>
      <c r="D592" t="s">
        <v>38</v>
      </c>
      <c r="E592" t="s">
        <v>38</v>
      </c>
      <c r="F592" t="s">
        <v>116</v>
      </c>
      <c r="G592" t="s">
        <v>40</v>
      </c>
      <c r="H592" t="s">
        <v>42</v>
      </c>
      <c r="I592" t="s">
        <v>42</v>
      </c>
      <c r="J592" t="s">
        <v>42</v>
      </c>
      <c r="K592" t="s">
        <v>996</v>
      </c>
      <c r="L592" t="s">
        <v>42</v>
      </c>
      <c r="M592" s="1" t="s">
        <v>42</v>
      </c>
      <c r="N592" s="39" t="s">
        <v>132</v>
      </c>
      <c r="O592" t="s">
        <v>44</v>
      </c>
      <c r="P592" s="39" t="s">
        <v>132</v>
      </c>
      <c r="Q592" t="s">
        <v>998</v>
      </c>
      <c r="R592" t="s">
        <v>870</v>
      </c>
      <c r="S592" t="s">
        <v>181</v>
      </c>
      <c r="T592" t="s">
        <v>42</v>
      </c>
      <c r="U592" t="s">
        <v>42</v>
      </c>
      <c r="V592" t="s">
        <v>42</v>
      </c>
      <c r="W592" s="8" t="s">
        <v>50</v>
      </c>
      <c r="X592" t="s">
        <v>1002</v>
      </c>
      <c r="Y592" s="8">
        <v>1</v>
      </c>
      <c r="Z592">
        <v>0</v>
      </c>
      <c r="AA592">
        <v>0</v>
      </c>
      <c r="AB592">
        <v>0</v>
      </c>
      <c r="AC592" s="5">
        <v>2004</v>
      </c>
      <c r="AD592" s="1">
        <v>2016</v>
      </c>
      <c r="AE592" s="6">
        <f t="shared" si="13"/>
        <v>12</v>
      </c>
      <c r="AF592">
        <v>13</v>
      </c>
      <c r="AG592" t="s">
        <v>64</v>
      </c>
      <c r="AH592" s="1" t="s">
        <v>64</v>
      </c>
    </row>
    <row r="593" spans="1:34" ht="15" customHeight="1">
      <c r="A593" t="s">
        <v>994</v>
      </c>
      <c r="B593" t="s">
        <v>995</v>
      </c>
      <c r="C593" s="24">
        <v>6</v>
      </c>
      <c r="D593" t="s">
        <v>38</v>
      </c>
      <c r="E593" t="s">
        <v>38</v>
      </c>
      <c r="F593" t="s">
        <v>116</v>
      </c>
      <c r="G593" t="s">
        <v>40</v>
      </c>
      <c r="H593" t="s">
        <v>42</v>
      </c>
      <c r="I593" t="s">
        <v>42</v>
      </c>
      <c r="J593" t="s">
        <v>42</v>
      </c>
      <c r="K593" t="s">
        <v>996</v>
      </c>
      <c r="L593" t="s">
        <v>42</v>
      </c>
      <c r="M593" s="1" t="s">
        <v>42</v>
      </c>
      <c r="N593" s="39" t="s">
        <v>60</v>
      </c>
      <c r="O593" t="s">
        <v>44</v>
      </c>
      <c r="P593" s="39" t="s">
        <v>538</v>
      </c>
      <c r="Q593" t="s">
        <v>998</v>
      </c>
      <c r="R593" t="s">
        <v>870</v>
      </c>
      <c r="S593" t="s">
        <v>1004</v>
      </c>
      <c r="T593" t="s">
        <v>42</v>
      </c>
      <c r="U593" t="s">
        <v>42</v>
      </c>
      <c r="V593" t="s">
        <v>42</v>
      </c>
      <c r="W593" s="8" t="s">
        <v>50</v>
      </c>
      <c r="X593" t="s">
        <v>1002</v>
      </c>
      <c r="Y593" s="8">
        <v>1</v>
      </c>
      <c r="Z593">
        <v>0</v>
      </c>
      <c r="AA593">
        <v>0</v>
      </c>
      <c r="AB593">
        <v>0</v>
      </c>
      <c r="AC593" s="5">
        <v>2004</v>
      </c>
      <c r="AD593" s="1">
        <v>2016</v>
      </c>
      <c r="AE593" s="6">
        <f t="shared" si="13"/>
        <v>12</v>
      </c>
      <c r="AF593">
        <v>13</v>
      </c>
      <c r="AG593" t="s">
        <v>64</v>
      </c>
      <c r="AH593" s="1" t="s">
        <v>64</v>
      </c>
    </row>
    <row r="594" spans="1:34" s="9" customFormat="1" ht="15" customHeight="1">
      <c r="A594" s="9" t="s">
        <v>994</v>
      </c>
      <c r="B594" s="9" t="s">
        <v>995</v>
      </c>
      <c r="C594" s="25">
        <v>7</v>
      </c>
      <c r="D594" s="9" t="s">
        <v>38</v>
      </c>
      <c r="E594" s="9" t="s">
        <v>38</v>
      </c>
      <c r="F594" s="9" t="s">
        <v>116</v>
      </c>
      <c r="G594" s="9" t="s">
        <v>40</v>
      </c>
      <c r="H594" s="9" t="s">
        <v>42</v>
      </c>
      <c r="I594" s="9" t="s">
        <v>42</v>
      </c>
      <c r="J594" s="9" t="s">
        <v>42</v>
      </c>
      <c r="K594" s="9" t="s">
        <v>996</v>
      </c>
      <c r="L594" s="9" t="s">
        <v>42</v>
      </c>
      <c r="M594" s="10" t="s">
        <v>42</v>
      </c>
      <c r="N594" s="40" t="s">
        <v>60</v>
      </c>
      <c r="O594" s="9" t="s">
        <v>44</v>
      </c>
      <c r="P594" s="40" t="s">
        <v>1005</v>
      </c>
      <c r="Q594" s="9" t="s">
        <v>998</v>
      </c>
      <c r="R594" s="9" t="s">
        <v>870</v>
      </c>
      <c r="S594" s="9" t="s">
        <v>88</v>
      </c>
      <c r="T594" s="9" t="s">
        <v>42</v>
      </c>
      <c r="U594" s="9" t="s">
        <v>42</v>
      </c>
      <c r="V594" s="9" t="s">
        <v>42</v>
      </c>
      <c r="W594" s="11" t="s">
        <v>50</v>
      </c>
      <c r="X594" s="9" t="s">
        <v>1002</v>
      </c>
      <c r="Y594" s="11">
        <v>1</v>
      </c>
      <c r="Z594" s="9">
        <v>0</v>
      </c>
      <c r="AA594" s="9">
        <v>0</v>
      </c>
      <c r="AB594" s="9">
        <v>0</v>
      </c>
      <c r="AC594" s="12">
        <v>2004</v>
      </c>
      <c r="AD594" s="10">
        <v>2016</v>
      </c>
      <c r="AE594" s="13">
        <f t="shared" si="13"/>
        <v>12</v>
      </c>
      <c r="AF594" s="9">
        <v>13</v>
      </c>
      <c r="AG594" s="9" t="s">
        <v>64</v>
      </c>
      <c r="AH594" s="10" t="s">
        <v>64</v>
      </c>
    </row>
    <row r="595" spans="1:34" ht="15" customHeight="1">
      <c r="A595" t="s">
        <v>1006</v>
      </c>
      <c r="B595" t="s">
        <v>1007</v>
      </c>
      <c r="C595" s="24">
        <v>1</v>
      </c>
      <c r="D595" t="s">
        <v>38</v>
      </c>
      <c r="E595" t="s">
        <v>38</v>
      </c>
      <c r="F595" t="s">
        <v>39</v>
      </c>
      <c r="G595" t="s">
        <v>40</v>
      </c>
      <c r="H595" t="s">
        <v>91</v>
      </c>
      <c r="I595" t="s">
        <v>92</v>
      </c>
      <c r="J595" t="s">
        <v>42</v>
      </c>
      <c r="K595" t="s">
        <v>42</v>
      </c>
      <c r="L595" t="s">
        <v>42</v>
      </c>
      <c r="M595" t="s">
        <v>42</v>
      </c>
      <c r="N595" s="39" t="s">
        <v>132</v>
      </c>
      <c r="O595" t="s">
        <v>86</v>
      </c>
      <c r="P595" s="39" t="s">
        <v>132</v>
      </c>
      <c r="Q595" t="s">
        <v>1008</v>
      </c>
      <c r="R595" t="s">
        <v>42</v>
      </c>
      <c r="S595" t="s">
        <v>181</v>
      </c>
      <c r="T595" t="s">
        <v>1009</v>
      </c>
      <c r="U595" t="s">
        <v>42</v>
      </c>
      <c r="V595" t="s">
        <v>42</v>
      </c>
      <c r="W595" s="8" t="s">
        <v>64</v>
      </c>
      <c r="X595" t="s">
        <v>42</v>
      </c>
      <c r="Y595" s="8">
        <v>1</v>
      </c>
      <c r="Z595">
        <v>0</v>
      </c>
      <c r="AA595">
        <v>0</v>
      </c>
      <c r="AB595">
        <v>0</v>
      </c>
      <c r="AC595" s="5">
        <v>2019</v>
      </c>
      <c r="AD595" s="1">
        <v>2021</v>
      </c>
      <c r="AE595" s="6">
        <v>3</v>
      </c>
      <c r="AF595">
        <v>3</v>
      </c>
      <c r="AG595" t="s">
        <v>64</v>
      </c>
      <c r="AH595" s="1" t="s">
        <v>64</v>
      </c>
    </row>
    <row r="596" spans="1:34" ht="15" customHeight="1">
      <c r="A596" t="s">
        <v>1006</v>
      </c>
      <c r="B596" t="s">
        <v>1007</v>
      </c>
      <c r="C596" s="24">
        <v>2</v>
      </c>
      <c r="D596" t="s">
        <v>38</v>
      </c>
      <c r="E596" t="s">
        <v>38</v>
      </c>
      <c r="F596" t="s">
        <v>39</v>
      </c>
      <c r="G596" t="s">
        <v>40</v>
      </c>
      <c r="H596" t="s">
        <v>91</v>
      </c>
      <c r="I596" t="s">
        <v>92</v>
      </c>
      <c r="J596" t="s">
        <v>42</v>
      </c>
      <c r="K596" t="s">
        <v>42</v>
      </c>
      <c r="L596" t="s">
        <v>42</v>
      </c>
      <c r="M596" t="s">
        <v>42</v>
      </c>
      <c r="N596" s="39" t="s">
        <v>79</v>
      </c>
      <c r="O596" t="s">
        <v>86</v>
      </c>
      <c r="P596" s="39" t="s">
        <v>79</v>
      </c>
      <c r="Q596" t="s">
        <v>1008</v>
      </c>
      <c r="R596" t="s">
        <v>42</v>
      </c>
      <c r="S596" t="s">
        <v>202</v>
      </c>
      <c r="T596" t="s">
        <v>1009</v>
      </c>
      <c r="U596" t="s">
        <v>42</v>
      </c>
      <c r="V596" t="s">
        <v>42</v>
      </c>
      <c r="W596" s="8" t="s">
        <v>64</v>
      </c>
      <c r="X596" t="s">
        <v>42</v>
      </c>
      <c r="Y596" s="8">
        <v>1</v>
      </c>
      <c r="Z596">
        <v>0</v>
      </c>
      <c r="AA596">
        <v>0</v>
      </c>
      <c r="AB596">
        <v>0</v>
      </c>
      <c r="AC596" s="5">
        <v>2019</v>
      </c>
      <c r="AD596" s="1">
        <v>2021</v>
      </c>
      <c r="AE596" s="6">
        <v>3</v>
      </c>
      <c r="AF596">
        <v>3</v>
      </c>
      <c r="AG596" t="s">
        <v>64</v>
      </c>
      <c r="AH596" s="1" t="s">
        <v>64</v>
      </c>
    </row>
    <row r="597" spans="1:34" ht="15" customHeight="1">
      <c r="A597" t="s">
        <v>1006</v>
      </c>
      <c r="B597" t="s">
        <v>1007</v>
      </c>
      <c r="C597" s="24">
        <v>3</v>
      </c>
      <c r="D597" t="s">
        <v>38</v>
      </c>
      <c r="E597" t="s">
        <v>38</v>
      </c>
      <c r="F597" t="s">
        <v>39</v>
      </c>
      <c r="G597" t="s">
        <v>40</v>
      </c>
      <c r="H597" t="s">
        <v>91</v>
      </c>
      <c r="I597" t="s">
        <v>92</v>
      </c>
      <c r="J597" t="s">
        <v>42</v>
      </c>
      <c r="K597" t="s">
        <v>42</v>
      </c>
      <c r="L597" t="s">
        <v>42</v>
      </c>
      <c r="M597" t="s">
        <v>42</v>
      </c>
      <c r="N597" s="39" t="s">
        <v>269</v>
      </c>
      <c r="O597" t="s">
        <v>86</v>
      </c>
      <c r="P597" s="39" t="s">
        <v>269</v>
      </c>
      <c r="Q597" t="s">
        <v>1008</v>
      </c>
      <c r="R597" t="s">
        <v>42</v>
      </c>
      <c r="S597" t="s">
        <v>1010</v>
      </c>
      <c r="T597" t="s">
        <v>1009</v>
      </c>
      <c r="U597" t="s">
        <v>42</v>
      </c>
      <c r="V597" t="s">
        <v>42</v>
      </c>
      <c r="W597" s="8" t="s">
        <v>64</v>
      </c>
      <c r="X597" t="s">
        <v>42</v>
      </c>
      <c r="Y597" s="8">
        <v>1</v>
      </c>
      <c r="Z597">
        <v>0</v>
      </c>
      <c r="AA597">
        <v>0</v>
      </c>
      <c r="AB597">
        <v>0</v>
      </c>
      <c r="AC597" s="5">
        <v>2019</v>
      </c>
      <c r="AD597" s="1">
        <v>2021</v>
      </c>
      <c r="AE597" s="6">
        <v>3</v>
      </c>
      <c r="AF597">
        <v>3</v>
      </c>
      <c r="AG597" t="s">
        <v>64</v>
      </c>
      <c r="AH597" s="1" t="s">
        <v>64</v>
      </c>
    </row>
    <row r="598" spans="1:34" ht="15" customHeight="1">
      <c r="A598" t="s">
        <v>1006</v>
      </c>
      <c r="B598" t="s">
        <v>1007</v>
      </c>
      <c r="C598" s="24">
        <v>4</v>
      </c>
      <c r="D598" t="s">
        <v>38</v>
      </c>
      <c r="E598" t="s">
        <v>38</v>
      </c>
      <c r="F598" t="s">
        <v>39</v>
      </c>
      <c r="G598" t="s">
        <v>40</v>
      </c>
      <c r="H598" t="s">
        <v>91</v>
      </c>
      <c r="I598" t="s">
        <v>92</v>
      </c>
      <c r="J598" t="s">
        <v>42</v>
      </c>
      <c r="K598" t="s">
        <v>42</v>
      </c>
      <c r="L598" t="s">
        <v>42</v>
      </c>
      <c r="M598" t="s">
        <v>42</v>
      </c>
      <c r="N598" s="39" t="s">
        <v>269</v>
      </c>
      <c r="O598" t="s">
        <v>86</v>
      </c>
      <c r="P598" s="39" t="s">
        <v>325</v>
      </c>
      <c r="Q598" t="s">
        <v>1008</v>
      </c>
      <c r="R598" t="s">
        <v>42</v>
      </c>
      <c r="S598" t="s">
        <v>1011</v>
      </c>
      <c r="T598" t="s">
        <v>1009</v>
      </c>
      <c r="U598" t="s">
        <v>42</v>
      </c>
      <c r="V598" t="s">
        <v>42</v>
      </c>
      <c r="W598" s="8" t="s">
        <v>64</v>
      </c>
      <c r="X598" t="s">
        <v>42</v>
      </c>
      <c r="Y598" s="8">
        <v>1</v>
      </c>
      <c r="Z598">
        <v>0</v>
      </c>
      <c r="AA598">
        <v>0</v>
      </c>
      <c r="AB598">
        <v>0</v>
      </c>
      <c r="AC598" s="5">
        <v>2019</v>
      </c>
      <c r="AD598" s="1">
        <v>2021</v>
      </c>
      <c r="AE598" s="6">
        <v>3</v>
      </c>
      <c r="AF598">
        <v>3</v>
      </c>
      <c r="AG598" t="s">
        <v>64</v>
      </c>
      <c r="AH598" s="1" t="s">
        <v>64</v>
      </c>
    </row>
    <row r="599" spans="1:34" ht="15" customHeight="1">
      <c r="A599" t="s">
        <v>1006</v>
      </c>
      <c r="B599" t="s">
        <v>1007</v>
      </c>
      <c r="C599" s="24">
        <v>5</v>
      </c>
      <c r="D599" t="s">
        <v>38</v>
      </c>
      <c r="E599" t="s">
        <v>38</v>
      </c>
      <c r="F599" t="s">
        <v>39</v>
      </c>
      <c r="G599" t="s">
        <v>40</v>
      </c>
      <c r="H599" t="s">
        <v>91</v>
      </c>
      <c r="I599" t="s">
        <v>92</v>
      </c>
      <c r="J599" t="s">
        <v>42</v>
      </c>
      <c r="K599" t="s">
        <v>42</v>
      </c>
      <c r="L599" t="s">
        <v>42</v>
      </c>
      <c r="M599" t="s">
        <v>42</v>
      </c>
      <c r="N599" s="39" t="s">
        <v>186</v>
      </c>
      <c r="O599" t="s">
        <v>86</v>
      </c>
      <c r="P599" s="39" t="s">
        <v>186</v>
      </c>
      <c r="Q599" t="s">
        <v>1008</v>
      </c>
      <c r="R599" t="s">
        <v>42</v>
      </c>
      <c r="S599" t="s">
        <v>1012</v>
      </c>
      <c r="T599" t="s">
        <v>1009</v>
      </c>
      <c r="U599" t="s">
        <v>42</v>
      </c>
      <c r="V599" t="s">
        <v>42</v>
      </c>
      <c r="W599" s="8" t="s">
        <v>50</v>
      </c>
      <c r="X599" t="s">
        <v>1013</v>
      </c>
      <c r="Y599" s="8">
        <v>1</v>
      </c>
      <c r="Z599">
        <v>0</v>
      </c>
      <c r="AA599">
        <v>0</v>
      </c>
      <c r="AB599">
        <v>0</v>
      </c>
      <c r="AC599" s="5">
        <v>2019</v>
      </c>
      <c r="AD599" s="1">
        <v>2021</v>
      </c>
      <c r="AE599" s="6">
        <v>3</v>
      </c>
      <c r="AF599">
        <v>3</v>
      </c>
      <c r="AG599" t="s">
        <v>64</v>
      </c>
      <c r="AH599" s="1" t="s">
        <v>64</v>
      </c>
    </row>
    <row r="600" spans="1:34" ht="15" customHeight="1">
      <c r="A600" t="s">
        <v>1006</v>
      </c>
      <c r="B600" t="s">
        <v>1007</v>
      </c>
      <c r="C600" s="24">
        <v>6</v>
      </c>
      <c r="D600" t="s">
        <v>38</v>
      </c>
      <c r="E600" t="s">
        <v>38</v>
      </c>
      <c r="F600" t="s">
        <v>39</v>
      </c>
      <c r="G600" t="s">
        <v>40</v>
      </c>
      <c r="H600" t="s">
        <v>339</v>
      </c>
      <c r="I600" t="s">
        <v>42</v>
      </c>
      <c r="J600" t="s">
        <v>42</v>
      </c>
      <c r="K600" t="s">
        <v>42</v>
      </c>
      <c r="L600" t="s">
        <v>42</v>
      </c>
      <c r="M600" t="s">
        <v>42</v>
      </c>
      <c r="N600" s="39" t="s">
        <v>132</v>
      </c>
      <c r="O600" t="s">
        <v>86</v>
      </c>
      <c r="P600" s="39" t="s">
        <v>132</v>
      </c>
      <c r="Q600" t="s">
        <v>1014</v>
      </c>
      <c r="R600" t="s">
        <v>42</v>
      </c>
      <c r="S600" t="s">
        <v>181</v>
      </c>
      <c r="T600" t="s">
        <v>1009</v>
      </c>
      <c r="U600" t="s">
        <v>42</v>
      </c>
      <c r="V600" t="s">
        <v>42</v>
      </c>
      <c r="W600" s="8" t="s">
        <v>64</v>
      </c>
      <c r="X600" t="s">
        <v>42</v>
      </c>
      <c r="Y600" s="8">
        <v>1</v>
      </c>
      <c r="Z600">
        <v>0</v>
      </c>
      <c r="AA600">
        <v>0</v>
      </c>
      <c r="AB600">
        <v>0</v>
      </c>
      <c r="AC600" s="5">
        <v>2019</v>
      </c>
      <c r="AD600" s="1">
        <v>2021</v>
      </c>
      <c r="AE600" s="6">
        <v>3</v>
      </c>
      <c r="AF600">
        <v>3</v>
      </c>
      <c r="AG600" t="s">
        <v>64</v>
      </c>
      <c r="AH600" s="1" t="s">
        <v>64</v>
      </c>
    </row>
    <row r="601" spans="1:34" ht="15" customHeight="1">
      <c r="A601" t="s">
        <v>1006</v>
      </c>
      <c r="B601" t="s">
        <v>1007</v>
      </c>
      <c r="C601" s="24">
        <v>7</v>
      </c>
      <c r="D601" t="s">
        <v>38</v>
      </c>
      <c r="E601" t="s">
        <v>38</v>
      </c>
      <c r="F601" t="s">
        <v>39</v>
      </c>
      <c r="G601" t="s">
        <v>40</v>
      </c>
      <c r="H601" t="s">
        <v>339</v>
      </c>
      <c r="I601" t="s">
        <v>42</v>
      </c>
      <c r="J601" t="s">
        <v>42</v>
      </c>
      <c r="K601" t="s">
        <v>42</v>
      </c>
      <c r="L601" t="s">
        <v>42</v>
      </c>
      <c r="M601" t="s">
        <v>42</v>
      </c>
      <c r="N601" s="39" t="s">
        <v>79</v>
      </c>
      <c r="O601" t="s">
        <v>86</v>
      </c>
      <c r="P601" s="39" t="s">
        <v>79</v>
      </c>
      <c r="Q601" t="s">
        <v>1014</v>
      </c>
      <c r="R601" t="s">
        <v>42</v>
      </c>
      <c r="S601" t="s">
        <v>202</v>
      </c>
      <c r="T601" t="s">
        <v>1009</v>
      </c>
      <c r="U601" t="s">
        <v>42</v>
      </c>
      <c r="V601" t="s">
        <v>42</v>
      </c>
      <c r="W601" s="8" t="s">
        <v>64</v>
      </c>
      <c r="X601" t="s">
        <v>42</v>
      </c>
      <c r="Y601" s="8">
        <v>1</v>
      </c>
      <c r="Z601">
        <v>0</v>
      </c>
      <c r="AA601">
        <v>0</v>
      </c>
      <c r="AB601">
        <v>0</v>
      </c>
      <c r="AC601" s="5">
        <v>2019</v>
      </c>
      <c r="AD601" s="1">
        <v>2021</v>
      </c>
      <c r="AE601" s="6">
        <v>3</v>
      </c>
      <c r="AF601">
        <v>3</v>
      </c>
      <c r="AG601" t="s">
        <v>64</v>
      </c>
      <c r="AH601" s="1" t="s">
        <v>64</v>
      </c>
    </row>
    <row r="602" spans="1:34" ht="15" customHeight="1">
      <c r="A602" t="s">
        <v>1006</v>
      </c>
      <c r="B602" t="s">
        <v>1007</v>
      </c>
      <c r="C602" s="24">
        <v>8</v>
      </c>
      <c r="D602" t="s">
        <v>38</v>
      </c>
      <c r="E602" t="s">
        <v>38</v>
      </c>
      <c r="F602" t="s">
        <v>39</v>
      </c>
      <c r="G602" t="s">
        <v>40</v>
      </c>
      <c r="H602" t="s">
        <v>339</v>
      </c>
      <c r="I602" t="s">
        <v>42</v>
      </c>
      <c r="J602" t="s">
        <v>42</v>
      </c>
      <c r="K602" t="s">
        <v>42</v>
      </c>
      <c r="L602" t="s">
        <v>42</v>
      </c>
      <c r="M602" t="s">
        <v>42</v>
      </c>
      <c r="N602" s="39" t="s">
        <v>269</v>
      </c>
      <c r="O602" t="s">
        <v>86</v>
      </c>
      <c r="P602" s="39" t="s">
        <v>269</v>
      </c>
      <c r="Q602" t="s">
        <v>1014</v>
      </c>
      <c r="R602" t="s">
        <v>42</v>
      </c>
      <c r="S602" t="s">
        <v>1010</v>
      </c>
      <c r="T602" t="s">
        <v>1009</v>
      </c>
      <c r="U602" t="s">
        <v>42</v>
      </c>
      <c r="V602" t="s">
        <v>42</v>
      </c>
      <c r="W602" s="8" t="s">
        <v>64</v>
      </c>
      <c r="X602" t="s">
        <v>42</v>
      </c>
      <c r="Y602" s="8">
        <v>1</v>
      </c>
      <c r="Z602">
        <v>0</v>
      </c>
      <c r="AA602">
        <v>0</v>
      </c>
      <c r="AB602">
        <v>0</v>
      </c>
      <c r="AC602" s="5">
        <v>2019</v>
      </c>
      <c r="AD602" s="1">
        <v>2021</v>
      </c>
      <c r="AE602" s="6">
        <v>3</v>
      </c>
      <c r="AF602">
        <v>3</v>
      </c>
      <c r="AG602" t="s">
        <v>64</v>
      </c>
      <c r="AH602" s="1" t="s">
        <v>64</v>
      </c>
    </row>
    <row r="603" spans="1:34" ht="15" customHeight="1">
      <c r="A603" t="s">
        <v>1006</v>
      </c>
      <c r="B603" t="s">
        <v>1007</v>
      </c>
      <c r="C603" s="24">
        <v>9</v>
      </c>
      <c r="D603" t="s">
        <v>38</v>
      </c>
      <c r="E603" t="s">
        <v>38</v>
      </c>
      <c r="F603" t="s">
        <v>39</v>
      </c>
      <c r="G603" t="s">
        <v>40</v>
      </c>
      <c r="H603" t="s">
        <v>339</v>
      </c>
      <c r="I603" t="s">
        <v>42</v>
      </c>
      <c r="J603" t="s">
        <v>42</v>
      </c>
      <c r="K603" t="s">
        <v>42</v>
      </c>
      <c r="L603" t="s">
        <v>42</v>
      </c>
      <c r="M603" t="s">
        <v>42</v>
      </c>
      <c r="N603" s="39" t="s">
        <v>269</v>
      </c>
      <c r="O603" t="s">
        <v>86</v>
      </c>
      <c r="P603" s="39" t="s">
        <v>325</v>
      </c>
      <c r="Q603" t="s">
        <v>1014</v>
      </c>
      <c r="R603" t="s">
        <v>42</v>
      </c>
      <c r="S603" t="s">
        <v>1011</v>
      </c>
      <c r="T603" t="s">
        <v>1009</v>
      </c>
      <c r="U603" t="s">
        <v>42</v>
      </c>
      <c r="V603" t="s">
        <v>42</v>
      </c>
      <c r="W603" s="8" t="s">
        <v>64</v>
      </c>
      <c r="X603" t="s">
        <v>42</v>
      </c>
      <c r="Y603" s="8">
        <v>1</v>
      </c>
      <c r="Z603">
        <v>0</v>
      </c>
      <c r="AA603">
        <v>0</v>
      </c>
      <c r="AB603">
        <v>0</v>
      </c>
      <c r="AC603" s="5">
        <v>2019</v>
      </c>
      <c r="AD603" s="1">
        <v>2021</v>
      </c>
      <c r="AE603" s="6">
        <v>3</v>
      </c>
      <c r="AF603">
        <v>3</v>
      </c>
      <c r="AG603" t="s">
        <v>64</v>
      </c>
      <c r="AH603" s="1" t="s">
        <v>64</v>
      </c>
    </row>
    <row r="604" spans="1:34" ht="15" customHeight="1">
      <c r="A604" t="s">
        <v>1006</v>
      </c>
      <c r="B604" t="s">
        <v>1007</v>
      </c>
      <c r="C604" s="24">
        <v>10</v>
      </c>
      <c r="D604" t="s">
        <v>38</v>
      </c>
      <c r="E604" t="s">
        <v>38</v>
      </c>
      <c r="F604" t="s">
        <v>39</v>
      </c>
      <c r="G604" t="s">
        <v>40</v>
      </c>
      <c r="H604" t="s">
        <v>339</v>
      </c>
      <c r="I604" t="s">
        <v>42</v>
      </c>
      <c r="J604" t="s">
        <v>42</v>
      </c>
      <c r="K604" t="s">
        <v>42</v>
      </c>
      <c r="L604" t="s">
        <v>42</v>
      </c>
      <c r="M604" t="s">
        <v>42</v>
      </c>
      <c r="N604" s="39" t="s">
        <v>186</v>
      </c>
      <c r="O604" t="s">
        <v>44</v>
      </c>
      <c r="P604" s="39" t="s">
        <v>186</v>
      </c>
      <c r="Q604" t="s">
        <v>1014</v>
      </c>
      <c r="R604" t="s">
        <v>42</v>
      </c>
      <c r="S604" t="s">
        <v>1012</v>
      </c>
      <c r="T604" t="s">
        <v>1009</v>
      </c>
      <c r="U604" t="s">
        <v>42</v>
      </c>
      <c r="V604" t="s">
        <v>42</v>
      </c>
      <c r="W604" s="8" t="s">
        <v>50</v>
      </c>
      <c r="X604" t="s">
        <v>1013</v>
      </c>
      <c r="Y604" s="8">
        <v>1</v>
      </c>
      <c r="Z604">
        <v>0</v>
      </c>
      <c r="AA604">
        <v>0</v>
      </c>
      <c r="AB604">
        <v>0</v>
      </c>
      <c r="AC604" s="5">
        <v>2019</v>
      </c>
      <c r="AD604" s="1">
        <v>2021</v>
      </c>
      <c r="AE604" s="6">
        <v>3</v>
      </c>
      <c r="AF604">
        <v>3</v>
      </c>
      <c r="AG604" t="s">
        <v>64</v>
      </c>
      <c r="AH604" s="1" t="s">
        <v>64</v>
      </c>
    </row>
    <row r="605" spans="1:34" ht="15" customHeight="1">
      <c r="A605" t="s">
        <v>1006</v>
      </c>
      <c r="B605" t="s">
        <v>1007</v>
      </c>
      <c r="C605" s="24">
        <v>11</v>
      </c>
      <c r="D605" t="s">
        <v>38</v>
      </c>
      <c r="E605" t="s">
        <v>38</v>
      </c>
      <c r="F605" t="s">
        <v>39</v>
      </c>
      <c r="G605" t="s">
        <v>40</v>
      </c>
      <c r="H605" t="s">
        <v>185</v>
      </c>
      <c r="I605" t="s">
        <v>42</v>
      </c>
      <c r="J605" t="s">
        <v>42</v>
      </c>
      <c r="K605" t="s">
        <v>42</v>
      </c>
      <c r="L605" t="s">
        <v>42</v>
      </c>
      <c r="M605" t="s">
        <v>42</v>
      </c>
      <c r="N605" s="39" t="s">
        <v>132</v>
      </c>
      <c r="O605" t="s">
        <v>86</v>
      </c>
      <c r="P605" s="39" t="s">
        <v>132</v>
      </c>
      <c r="Q605" t="s">
        <v>1015</v>
      </c>
      <c r="R605" t="s">
        <v>42</v>
      </c>
      <c r="S605" t="s">
        <v>181</v>
      </c>
      <c r="T605" t="s">
        <v>1009</v>
      </c>
      <c r="U605" t="s">
        <v>42</v>
      </c>
      <c r="V605" t="s">
        <v>42</v>
      </c>
      <c r="W605" s="8" t="s">
        <v>64</v>
      </c>
      <c r="X605" t="s">
        <v>42</v>
      </c>
      <c r="Y605" s="8">
        <v>1</v>
      </c>
      <c r="Z605">
        <v>0</v>
      </c>
      <c r="AA605">
        <v>0</v>
      </c>
      <c r="AB605">
        <v>0</v>
      </c>
      <c r="AC605" s="5">
        <v>2019</v>
      </c>
      <c r="AD605" s="1">
        <v>2021</v>
      </c>
      <c r="AE605" s="6">
        <v>3</v>
      </c>
      <c r="AF605">
        <v>3</v>
      </c>
      <c r="AG605" t="s">
        <v>64</v>
      </c>
      <c r="AH605" s="1" t="s">
        <v>64</v>
      </c>
    </row>
    <row r="606" spans="1:34" ht="15" customHeight="1">
      <c r="A606" t="s">
        <v>1006</v>
      </c>
      <c r="B606" t="s">
        <v>1007</v>
      </c>
      <c r="C606" s="24">
        <v>12</v>
      </c>
      <c r="D606" t="s">
        <v>38</v>
      </c>
      <c r="E606" t="s">
        <v>38</v>
      </c>
      <c r="F606" t="s">
        <v>39</v>
      </c>
      <c r="G606" t="s">
        <v>40</v>
      </c>
      <c r="H606" t="s">
        <v>185</v>
      </c>
      <c r="I606" t="s">
        <v>42</v>
      </c>
      <c r="J606" t="s">
        <v>42</v>
      </c>
      <c r="K606" t="s">
        <v>42</v>
      </c>
      <c r="L606" t="s">
        <v>42</v>
      </c>
      <c r="M606" t="s">
        <v>42</v>
      </c>
      <c r="N606" s="39" t="s">
        <v>79</v>
      </c>
      <c r="O606" t="s">
        <v>86</v>
      </c>
      <c r="P606" s="39" t="s">
        <v>79</v>
      </c>
      <c r="Q606" t="s">
        <v>1015</v>
      </c>
      <c r="R606" t="s">
        <v>42</v>
      </c>
      <c r="S606" t="s">
        <v>202</v>
      </c>
      <c r="T606" t="s">
        <v>1009</v>
      </c>
      <c r="U606" t="s">
        <v>42</v>
      </c>
      <c r="V606" t="s">
        <v>42</v>
      </c>
      <c r="W606" s="8" t="s">
        <v>64</v>
      </c>
      <c r="X606" t="s">
        <v>42</v>
      </c>
      <c r="Y606" s="8">
        <v>1</v>
      </c>
      <c r="Z606">
        <v>0</v>
      </c>
      <c r="AA606">
        <v>0</v>
      </c>
      <c r="AB606">
        <v>0</v>
      </c>
      <c r="AC606" s="5">
        <v>2019</v>
      </c>
      <c r="AD606" s="1">
        <v>2021</v>
      </c>
      <c r="AE606" s="6">
        <v>3</v>
      </c>
      <c r="AF606">
        <v>3</v>
      </c>
      <c r="AG606" t="s">
        <v>64</v>
      </c>
      <c r="AH606" s="1" t="s">
        <v>64</v>
      </c>
    </row>
    <row r="607" spans="1:34" ht="15" customHeight="1">
      <c r="A607" t="s">
        <v>1006</v>
      </c>
      <c r="B607" t="s">
        <v>1007</v>
      </c>
      <c r="C607" s="24">
        <v>13</v>
      </c>
      <c r="D607" t="s">
        <v>38</v>
      </c>
      <c r="E607" t="s">
        <v>38</v>
      </c>
      <c r="F607" t="s">
        <v>39</v>
      </c>
      <c r="G607" t="s">
        <v>40</v>
      </c>
      <c r="H607" t="s">
        <v>185</v>
      </c>
      <c r="I607" t="s">
        <v>42</v>
      </c>
      <c r="J607" t="s">
        <v>42</v>
      </c>
      <c r="K607" t="s">
        <v>42</v>
      </c>
      <c r="L607" t="s">
        <v>42</v>
      </c>
      <c r="M607" t="s">
        <v>42</v>
      </c>
      <c r="N607" s="39" t="s">
        <v>269</v>
      </c>
      <c r="O607" t="s">
        <v>86</v>
      </c>
      <c r="P607" s="39" t="s">
        <v>269</v>
      </c>
      <c r="Q607" t="s">
        <v>1015</v>
      </c>
      <c r="R607" t="s">
        <v>42</v>
      </c>
      <c r="S607" t="s">
        <v>1010</v>
      </c>
      <c r="T607" t="s">
        <v>1009</v>
      </c>
      <c r="U607" t="s">
        <v>42</v>
      </c>
      <c r="V607" t="s">
        <v>42</v>
      </c>
      <c r="W607" s="8" t="s">
        <v>64</v>
      </c>
      <c r="X607" t="s">
        <v>42</v>
      </c>
      <c r="Y607" s="8">
        <v>1</v>
      </c>
      <c r="Z607">
        <v>0</v>
      </c>
      <c r="AA607">
        <v>0</v>
      </c>
      <c r="AB607">
        <v>0</v>
      </c>
      <c r="AC607" s="5">
        <v>2019</v>
      </c>
      <c r="AD607" s="1">
        <v>2021</v>
      </c>
      <c r="AE607" s="6">
        <v>3</v>
      </c>
      <c r="AF607">
        <v>3</v>
      </c>
      <c r="AG607" t="s">
        <v>64</v>
      </c>
      <c r="AH607" s="1" t="s">
        <v>64</v>
      </c>
    </row>
    <row r="608" spans="1:34" ht="15" customHeight="1">
      <c r="A608" t="s">
        <v>1006</v>
      </c>
      <c r="B608" t="s">
        <v>1007</v>
      </c>
      <c r="C608" s="24">
        <v>14</v>
      </c>
      <c r="D608" t="s">
        <v>38</v>
      </c>
      <c r="E608" t="s">
        <v>38</v>
      </c>
      <c r="F608" t="s">
        <v>39</v>
      </c>
      <c r="G608" t="s">
        <v>40</v>
      </c>
      <c r="H608" t="s">
        <v>185</v>
      </c>
      <c r="I608" t="s">
        <v>42</v>
      </c>
      <c r="J608" t="s">
        <v>42</v>
      </c>
      <c r="K608" t="s">
        <v>42</v>
      </c>
      <c r="L608" t="s">
        <v>42</v>
      </c>
      <c r="M608" t="s">
        <v>42</v>
      </c>
      <c r="N608" s="39" t="s">
        <v>269</v>
      </c>
      <c r="O608" t="s">
        <v>86</v>
      </c>
      <c r="P608" s="39" t="s">
        <v>325</v>
      </c>
      <c r="Q608" t="s">
        <v>1015</v>
      </c>
      <c r="R608" t="s">
        <v>42</v>
      </c>
      <c r="S608" t="s">
        <v>1011</v>
      </c>
      <c r="T608" t="s">
        <v>1009</v>
      </c>
      <c r="U608" t="s">
        <v>42</v>
      </c>
      <c r="V608" t="s">
        <v>42</v>
      </c>
      <c r="W608" s="8" t="s">
        <v>64</v>
      </c>
      <c r="X608" t="s">
        <v>42</v>
      </c>
      <c r="Y608" s="8">
        <v>1</v>
      </c>
      <c r="Z608">
        <v>0</v>
      </c>
      <c r="AA608">
        <v>0</v>
      </c>
      <c r="AB608">
        <v>0</v>
      </c>
      <c r="AC608" s="5">
        <v>2019</v>
      </c>
      <c r="AD608" s="1">
        <v>2021</v>
      </c>
      <c r="AE608" s="6">
        <v>3</v>
      </c>
      <c r="AF608">
        <v>3</v>
      </c>
      <c r="AG608" t="s">
        <v>64</v>
      </c>
      <c r="AH608" s="1" t="s">
        <v>64</v>
      </c>
    </row>
    <row r="609" spans="1:34" ht="15" customHeight="1">
      <c r="A609" t="s">
        <v>1006</v>
      </c>
      <c r="B609" t="s">
        <v>1007</v>
      </c>
      <c r="C609" s="24">
        <v>15</v>
      </c>
      <c r="D609" t="s">
        <v>38</v>
      </c>
      <c r="E609" t="s">
        <v>38</v>
      </c>
      <c r="F609" t="s">
        <v>39</v>
      </c>
      <c r="G609" t="s">
        <v>40</v>
      </c>
      <c r="H609" t="s">
        <v>185</v>
      </c>
      <c r="I609" t="s">
        <v>42</v>
      </c>
      <c r="J609" t="s">
        <v>42</v>
      </c>
      <c r="K609" t="s">
        <v>42</v>
      </c>
      <c r="L609" t="s">
        <v>42</v>
      </c>
      <c r="M609" t="s">
        <v>42</v>
      </c>
      <c r="N609" s="39" t="s">
        <v>186</v>
      </c>
      <c r="O609" t="s">
        <v>44</v>
      </c>
      <c r="P609" s="39" t="s">
        <v>186</v>
      </c>
      <c r="Q609" t="s">
        <v>1016</v>
      </c>
      <c r="R609" t="s">
        <v>42</v>
      </c>
      <c r="S609" t="s">
        <v>1012</v>
      </c>
      <c r="T609" t="s">
        <v>1009</v>
      </c>
      <c r="U609" t="s">
        <v>42</v>
      </c>
      <c r="V609" t="s">
        <v>42</v>
      </c>
      <c r="W609" s="8" t="s">
        <v>50</v>
      </c>
      <c r="X609" t="s">
        <v>1013</v>
      </c>
      <c r="Y609" s="8">
        <v>1</v>
      </c>
      <c r="Z609">
        <v>0</v>
      </c>
      <c r="AA609">
        <v>0</v>
      </c>
      <c r="AB609">
        <v>0</v>
      </c>
      <c r="AC609" s="5">
        <v>2019</v>
      </c>
      <c r="AD609" s="1">
        <v>2021</v>
      </c>
      <c r="AE609" s="6">
        <v>3</v>
      </c>
      <c r="AF609">
        <v>3</v>
      </c>
      <c r="AG609" t="s">
        <v>64</v>
      </c>
      <c r="AH609" s="1" t="s">
        <v>64</v>
      </c>
    </row>
    <row r="610" spans="1:34" ht="15" customHeight="1">
      <c r="A610" t="s">
        <v>1006</v>
      </c>
      <c r="B610" t="s">
        <v>1007</v>
      </c>
      <c r="C610" s="24">
        <v>16</v>
      </c>
      <c r="D610" t="s">
        <v>38</v>
      </c>
      <c r="E610" t="s">
        <v>38</v>
      </c>
      <c r="F610" t="s">
        <v>39</v>
      </c>
      <c r="G610" t="s">
        <v>40</v>
      </c>
      <c r="H610" t="s">
        <v>185</v>
      </c>
      <c r="I610" t="s">
        <v>42</v>
      </c>
      <c r="J610" t="s">
        <v>42</v>
      </c>
      <c r="K610" t="s">
        <v>42</v>
      </c>
      <c r="L610" t="s">
        <v>42</v>
      </c>
      <c r="M610" t="s">
        <v>42</v>
      </c>
      <c r="N610" s="39" t="s">
        <v>132</v>
      </c>
      <c r="O610" t="s">
        <v>86</v>
      </c>
      <c r="P610" s="39" t="s">
        <v>1017</v>
      </c>
      <c r="Q610" t="s">
        <v>1015</v>
      </c>
      <c r="R610">
        <v>13</v>
      </c>
      <c r="S610" t="s">
        <v>954</v>
      </c>
      <c r="T610" t="s">
        <v>42</v>
      </c>
      <c r="U610" t="s">
        <v>42</v>
      </c>
      <c r="V610" t="s">
        <v>42</v>
      </c>
      <c r="W610" s="8" t="s">
        <v>64</v>
      </c>
      <c r="X610" t="s">
        <v>42</v>
      </c>
      <c r="Y610" s="8">
        <v>1</v>
      </c>
      <c r="Z610">
        <v>0</v>
      </c>
      <c r="AA610">
        <v>0</v>
      </c>
      <c r="AB610">
        <v>0</v>
      </c>
      <c r="AC610" s="5">
        <v>2019</v>
      </c>
      <c r="AD610" s="1">
        <v>2021</v>
      </c>
      <c r="AE610" s="6">
        <v>3</v>
      </c>
      <c r="AF610">
        <v>3</v>
      </c>
      <c r="AG610" t="s">
        <v>64</v>
      </c>
      <c r="AH610" s="1" t="s">
        <v>64</v>
      </c>
    </row>
    <row r="611" spans="1:34" ht="15" customHeight="1">
      <c r="A611" t="s">
        <v>1006</v>
      </c>
      <c r="B611" t="s">
        <v>1007</v>
      </c>
      <c r="C611" s="24">
        <v>17</v>
      </c>
      <c r="D611" t="s">
        <v>38</v>
      </c>
      <c r="E611" t="s">
        <v>38</v>
      </c>
      <c r="F611" t="s">
        <v>39</v>
      </c>
      <c r="G611" t="s">
        <v>40</v>
      </c>
      <c r="H611" t="s">
        <v>185</v>
      </c>
      <c r="I611" t="s">
        <v>42</v>
      </c>
      <c r="J611" t="s">
        <v>42</v>
      </c>
      <c r="K611" t="s">
        <v>42</v>
      </c>
      <c r="L611" t="s">
        <v>42</v>
      </c>
      <c r="M611" t="s">
        <v>42</v>
      </c>
      <c r="N611" s="39" t="s">
        <v>132</v>
      </c>
      <c r="O611" t="s">
        <v>86</v>
      </c>
      <c r="P611" s="39" t="s">
        <v>1018</v>
      </c>
      <c r="Q611" t="s">
        <v>1015</v>
      </c>
      <c r="R611">
        <v>13</v>
      </c>
      <c r="S611" t="s">
        <v>1019</v>
      </c>
      <c r="T611" t="s">
        <v>42</v>
      </c>
      <c r="U611" t="s">
        <v>42</v>
      </c>
      <c r="V611" t="s">
        <v>42</v>
      </c>
      <c r="W611" s="8" t="s">
        <v>64</v>
      </c>
      <c r="X611" t="s">
        <v>42</v>
      </c>
      <c r="Y611" s="8">
        <v>1</v>
      </c>
      <c r="Z611">
        <v>0</v>
      </c>
      <c r="AA611">
        <v>0</v>
      </c>
      <c r="AB611">
        <v>0</v>
      </c>
      <c r="AC611" s="5">
        <v>2019</v>
      </c>
      <c r="AD611" s="1">
        <v>2021</v>
      </c>
      <c r="AE611" s="6">
        <v>3</v>
      </c>
      <c r="AF611">
        <v>3</v>
      </c>
      <c r="AG611" t="s">
        <v>64</v>
      </c>
      <c r="AH611" s="1" t="s">
        <v>64</v>
      </c>
    </row>
    <row r="612" spans="1:34" ht="15" customHeight="1">
      <c r="A612" t="s">
        <v>1006</v>
      </c>
      <c r="B612" t="s">
        <v>1007</v>
      </c>
      <c r="C612" s="24">
        <v>18</v>
      </c>
      <c r="D612" t="s">
        <v>38</v>
      </c>
      <c r="E612" t="s">
        <v>38</v>
      </c>
      <c r="F612" t="s">
        <v>39</v>
      </c>
      <c r="G612" t="s">
        <v>40</v>
      </c>
      <c r="H612" t="s">
        <v>185</v>
      </c>
      <c r="I612" t="s">
        <v>42</v>
      </c>
      <c r="J612" t="s">
        <v>42</v>
      </c>
      <c r="K612" t="s">
        <v>42</v>
      </c>
      <c r="L612" t="s">
        <v>42</v>
      </c>
      <c r="M612" t="s">
        <v>42</v>
      </c>
      <c r="N612" s="39" t="s">
        <v>132</v>
      </c>
      <c r="O612" t="s">
        <v>86</v>
      </c>
      <c r="P612" s="39" t="s">
        <v>132</v>
      </c>
      <c r="Q612" t="s">
        <v>1020</v>
      </c>
      <c r="R612">
        <v>8</v>
      </c>
      <c r="S612" t="s">
        <v>181</v>
      </c>
      <c r="T612" t="s">
        <v>1009</v>
      </c>
      <c r="U612" t="s">
        <v>42</v>
      </c>
      <c r="V612" t="s">
        <v>42</v>
      </c>
      <c r="W612" s="8" t="s">
        <v>64</v>
      </c>
      <c r="X612" t="s">
        <v>42</v>
      </c>
      <c r="Y612" s="8">
        <v>1</v>
      </c>
      <c r="Z612">
        <v>0</v>
      </c>
      <c r="AA612">
        <v>0</v>
      </c>
      <c r="AB612">
        <v>0</v>
      </c>
      <c r="AC612" s="5">
        <v>2019</v>
      </c>
      <c r="AD612" s="1">
        <v>2021</v>
      </c>
      <c r="AE612" s="6">
        <v>3</v>
      </c>
      <c r="AF612">
        <v>3</v>
      </c>
      <c r="AG612" t="s">
        <v>64</v>
      </c>
      <c r="AH612" s="1" t="s">
        <v>64</v>
      </c>
    </row>
    <row r="613" spans="1:34" ht="15" customHeight="1">
      <c r="A613" t="s">
        <v>1006</v>
      </c>
      <c r="B613" t="s">
        <v>1007</v>
      </c>
      <c r="C613" s="24">
        <v>19</v>
      </c>
      <c r="D613" t="s">
        <v>38</v>
      </c>
      <c r="E613" t="s">
        <v>38</v>
      </c>
      <c r="F613" t="s">
        <v>39</v>
      </c>
      <c r="G613" t="s">
        <v>40</v>
      </c>
      <c r="H613" t="s">
        <v>185</v>
      </c>
      <c r="I613" t="s">
        <v>42</v>
      </c>
      <c r="J613" t="s">
        <v>42</v>
      </c>
      <c r="K613" t="s">
        <v>42</v>
      </c>
      <c r="L613" t="s">
        <v>42</v>
      </c>
      <c r="M613" t="s">
        <v>42</v>
      </c>
      <c r="N613" s="39" t="s">
        <v>79</v>
      </c>
      <c r="O613" t="s">
        <v>86</v>
      </c>
      <c r="P613" s="39" t="s">
        <v>79</v>
      </c>
      <c r="Q613" t="s">
        <v>1020</v>
      </c>
      <c r="R613" t="s">
        <v>42</v>
      </c>
      <c r="S613" t="s">
        <v>202</v>
      </c>
      <c r="T613" t="s">
        <v>1009</v>
      </c>
      <c r="U613" t="s">
        <v>42</v>
      </c>
      <c r="V613" t="s">
        <v>42</v>
      </c>
      <c r="W613" s="8" t="s">
        <v>64</v>
      </c>
      <c r="X613" t="s">
        <v>42</v>
      </c>
      <c r="Y613" s="8">
        <v>1</v>
      </c>
      <c r="Z613">
        <v>0</v>
      </c>
      <c r="AA613">
        <v>0</v>
      </c>
      <c r="AB613">
        <v>0</v>
      </c>
      <c r="AC613" s="5">
        <v>2019</v>
      </c>
      <c r="AD613" s="1">
        <v>2021</v>
      </c>
      <c r="AE613" s="6">
        <v>3</v>
      </c>
      <c r="AF613">
        <v>3</v>
      </c>
      <c r="AG613" t="s">
        <v>64</v>
      </c>
      <c r="AH613" s="1" t="s">
        <v>64</v>
      </c>
    </row>
    <row r="614" spans="1:34" ht="15" customHeight="1">
      <c r="A614" t="s">
        <v>1006</v>
      </c>
      <c r="B614" t="s">
        <v>1007</v>
      </c>
      <c r="C614" s="24">
        <v>20</v>
      </c>
      <c r="D614" t="s">
        <v>38</v>
      </c>
      <c r="E614" t="s">
        <v>38</v>
      </c>
      <c r="F614" t="s">
        <v>39</v>
      </c>
      <c r="G614" t="s">
        <v>40</v>
      </c>
      <c r="H614" t="s">
        <v>185</v>
      </c>
      <c r="I614" t="s">
        <v>42</v>
      </c>
      <c r="J614" t="s">
        <v>42</v>
      </c>
      <c r="K614" t="s">
        <v>42</v>
      </c>
      <c r="L614" t="s">
        <v>42</v>
      </c>
      <c r="M614" t="s">
        <v>42</v>
      </c>
      <c r="N614" s="39" t="s">
        <v>269</v>
      </c>
      <c r="O614" t="s">
        <v>86</v>
      </c>
      <c r="P614" s="39" t="s">
        <v>269</v>
      </c>
      <c r="Q614" t="s">
        <v>1020</v>
      </c>
      <c r="R614" t="s">
        <v>42</v>
      </c>
      <c r="S614" t="s">
        <v>1010</v>
      </c>
      <c r="T614" t="s">
        <v>1009</v>
      </c>
      <c r="U614" t="s">
        <v>42</v>
      </c>
      <c r="V614" t="s">
        <v>42</v>
      </c>
      <c r="W614" s="8" t="s">
        <v>64</v>
      </c>
      <c r="X614" t="s">
        <v>42</v>
      </c>
      <c r="Y614" s="8">
        <v>1</v>
      </c>
      <c r="Z614">
        <v>0</v>
      </c>
      <c r="AA614">
        <v>0</v>
      </c>
      <c r="AB614">
        <v>0</v>
      </c>
      <c r="AC614" s="5">
        <v>2019</v>
      </c>
      <c r="AD614" s="1">
        <v>2021</v>
      </c>
      <c r="AE614" s="6">
        <v>3</v>
      </c>
      <c r="AF614">
        <v>3</v>
      </c>
      <c r="AG614" t="s">
        <v>64</v>
      </c>
      <c r="AH614" s="1" t="s">
        <v>64</v>
      </c>
    </row>
    <row r="615" spans="1:34" ht="15" customHeight="1">
      <c r="A615" t="s">
        <v>1006</v>
      </c>
      <c r="B615" t="s">
        <v>1007</v>
      </c>
      <c r="C615" s="24">
        <v>21</v>
      </c>
      <c r="D615" t="s">
        <v>38</v>
      </c>
      <c r="E615" t="s">
        <v>38</v>
      </c>
      <c r="F615" t="s">
        <v>39</v>
      </c>
      <c r="G615" t="s">
        <v>40</v>
      </c>
      <c r="H615" t="s">
        <v>185</v>
      </c>
      <c r="I615" t="s">
        <v>42</v>
      </c>
      <c r="J615" t="s">
        <v>42</v>
      </c>
      <c r="K615" t="s">
        <v>42</v>
      </c>
      <c r="L615" t="s">
        <v>42</v>
      </c>
      <c r="M615" t="s">
        <v>42</v>
      </c>
      <c r="N615" s="39" t="s">
        <v>269</v>
      </c>
      <c r="O615" t="s">
        <v>86</v>
      </c>
      <c r="P615" s="39" t="s">
        <v>325</v>
      </c>
      <c r="Q615" t="s">
        <v>1020</v>
      </c>
      <c r="R615" t="s">
        <v>42</v>
      </c>
      <c r="S615" t="s">
        <v>1011</v>
      </c>
      <c r="T615" t="s">
        <v>1009</v>
      </c>
      <c r="U615" t="s">
        <v>42</v>
      </c>
      <c r="V615" t="s">
        <v>42</v>
      </c>
      <c r="W615" s="8" t="s">
        <v>64</v>
      </c>
      <c r="X615" t="s">
        <v>42</v>
      </c>
      <c r="Y615" s="8">
        <v>1</v>
      </c>
      <c r="Z615">
        <v>0</v>
      </c>
      <c r="AA615">
        <v>0</v>
      </c>
      <c r="AB615">
        <v>0</v>
      </c>
      <c r="AC615" s="5">
        <v>2019</v>
      </c>
      <c r="AD615" s="1">
        <v>2021</v>
      </c>
      <c r="AE615" s="6">
        <v>3</v>
      </c>
      <c r="AF615">
        <v>3</v>
      </c>
      <c r="AG615" t="s">
        <v>64</v>
      </c>
      <c r="AH615" s="1" t="s">
        <v>64</v>
      </c>
    </row>
    <row r="616" spans="1:34" s="9" customFormat="1" ht="15" customHeight="1">
      <c r="A616" s="9" t="s">
        <v>1006</v>
      </c>
      <c r="B616" s="9" t="s">
        <v>1007</v>
      </c>
      <c r="C616" s="25">
        <v>22</v>
      </c>
      <c r="D616" s="9" t="s">
        <v>38</v>
      </c>
      <c r="E616" s="9" t="s">
        <v>38</v>
      </c>
      <c r="F616" s="9" t="s">
        <v>39</v>
      </c>
      <c r="G616" s="9" t="s">
        <v>40</v>
      </c>
      <c r="H616" s="9" t="s">
        <v>185</v>
      </c>
      <c r="I616" s="9" t="s">
        <v>42</v>
      </c>
      <c r="J616" s="9" t="s">
        <v>42</v>
      </c>
      <c r="K616" s="9" t="s">
        <v>42</v>
      </c>
      <c r="L616" s="9" t="s">
        <v>42</v>
      </c>
      <c r="M616" s="9" t="s">
        <v>42</v>
      </c>
      <c r="N616" s="40" t="s">
        <v>186</v>
      </c>
      <c r="O616" s="9" t="s">
        <v>44</v>
      </c>
      <c r="P616" s="40" t="s">
        <v>186</v>
      </c>
      <c r="Q616" s="9" t="s">
        <v>1020</v>
      </c>
      <c r="R616" s="9" t="s">
        <v>42</v>
      </c>
      <c r="S616" s="9" t="s">
        <v>1012</v>
      </c>
      <c r="T616" s="9" t="s">
        <v>1009</v>
      </c>
      <c r="U616" s="9" t="s">
        <v>42</v>
      </c>
      <c r="V616" s="9" t="s">
        <v>42</v>
      </c>
      <c r="W616" s="11" t="s">
        <v>50</v>
      </c>
      <c r="X616" s="9" t="s">
        <v>1013</v>
      </c>
      <c r="Y616" s="11">
        <v>1</v>
      </c>
      <c r="Z616" s="9">
        <v>0</v>
      </c>
      <c r="AA616" s="9">
        <v>0</v>
      </c>
      <c r="AB616" s="9">
        <v>0</v>
      </c>
      <c r="AC616" s="12">
        <v>2019</v>
      </c>
      <c r="AD616" s="10">
        <v>2021</v>
      </c>
      <c r="AE616" s="13">
        <v>3</v>
      </c>
      <c r="AF616" s="9">
        <v>3</v>
      </c>
      <c r="AG616" s="9" t="s">
        <v>64</v>
      </c>
      <c r="AH616" s="10" t="s">
        <v>64</v>
      </c>
    </row>
    <row r="617" spans="1:34" ht="15" customHeight="1">
      <c r="A617" t="s">
        <v>1021</v>
      </c>
      <c r="B617" t="s">
        <v>1022</v>
      </c>
      <c r="C617" s="1">
        <v>1</v>
      </c>
      <c r="D617" t="s">
        <v>38</v>
      </c>
      <c r="E617" t="s">
        <v>38</v>
      </c>
      <c r="F617" t="s">
        <v>39</v>
      </c>
      <c r="G617" t="s">
        <v>40</v>
      </c>
      <c r="H617" t="s">
        <v>1023</v>
      </c>
      <c r="I617" t="s">
        <v>42</v>
      </c>
      <c r="J617" t="s">
        <v>42</v>
      </c>
      <c r="K617" t="s">
        <v>42</v>
      </c>
      <c r="L617" t="s">
        <v>42</v>
      </c>
      <c r="M617" s="1" t="s">
        <v>42</v>
      </c>
      <c r="N617" s="39" t="s">
        <v>359</v>
      </c>
      <c r="O617" t="s">
        <v>86</v>
      </c>
      <c r="P617" s="39" t="s">
        <v>1024</v>
      </c>
      <c r="Q617" t="s">
        <v>1025</v>
      </c>
      <c r="R617" t="s">
        <v>1026</v>
      </c>
      <c r="S617" t="s">
        <v>88</v>
      </c>
      <c r="T617" t="s">
        <v>42</v>
      </c>
      <c r="U617" t="s">
        <v>42</v>
      </c>
      <c r="V617" t="s">
        <v>42</v>
      </c>
      <c r="W617" s="8" t="s">
        <v>64</v>
      </c>
      <c r="X617" t="s">
        <v>42</v>
      </c>
      <c r="Y617" s="8">
        <v>1</v>
      </c>
      <c r="Z617">
        <v>1</v>
      </c>
      <c r="AA617">
        <v>0</v>
      </c>
      <c r="AB617">
        <v>0</v>
      </c>
      <c r="AC617" s="5">
        <v>2015</v>
      </c>
      <c r="AD617" s="1">
        <v>2018</v>
      </c>
      <c r="AE617" s="6">
        <v>3</v>
      </c>
      <c r="AF617">
        <v>1</v>
      </c>
      <c r="AG617" t="s">
        <v>64</v>
      </c>
      <c r="AH617" s="1" t="s">
        <v>64</v>
      </c>
    </row>
    <row r="618" spans="1:34" ht="15" customHeight="1">
      <c r="A618" t="s">
        <v>1021</v>
      </c>
      <c r="B618" t="s">
        <v>1022</v>
      </c>
      <c r="C618" s="1">
        <v>2</v>
      </c>
      <c r="D618" t="s">
        <v>38</v>
      </c>
      <c r="E618" t="s">
        <v>38</v>
      </c>
      <c r="F618" t="s">
        <v>39</v>
      </c>
      <c r="G618" t="s">
        <v>40</v>
      </c>
      <c r="H618" t="s">
        <v>1023</v>
      </c>
      <c r="I618" t="s">
        <v>42</v>
      </c>
      <c r="J618" t="s">
        <v>42</v>
      </c>
      <c r="K618" t="s">
        <v>42</v>
      </c>
      <c r="L618" t="s">
        <v>42</v>
      </c>
      <c r="M618" s="1" t="s">
        <v>42</v>
      </c>
      <c r="N618" s="39" t="s">
        <v>359</v>
      </c>
      <c r="O618" t="s">
        <v>86</v>
      </c>
      <c r="P618" s="39" t="s">
        <v>1024</v>
      </c>
      <c r="Q618" t="s">
        <v>1027</v>
      </c>
      <c r="R618" t="s">
        <v>1028</v>
      </c>
      <c r="S618" t="s">
        <v>88</v>
      </c>
      <c r="T618" t="s">
        <v>42</v>
      </c>
      <c r="U618" t="s">
        <v>42</v>
      </c>
      <c r="V618" t="s">
        <v>42</v>
      </c>
      <c r="W618" s="8" t="s">
        <v>64</v>
      </c>
      <c r="X618" t="s">
        <v>42</v>
      </c>
      <c r="Y618" s="8">
        <v>1</v>
      </c>
      <c r="Z618">
        <v>1</v>
      </c>
      <c r="AA618">
        <v>0</v>
      </c>
      <c r="AB618">
        <v>0</v>
      </c>
      <c r="AC618" s="5">
        <v>2015</v>
      </c>
      <c r="AD618" s="1">
        <v>2018</v>
      </c>
      <c r="AE618" s="6">
        <v>3</v>
      </c>
      <c r="AF618">
        <v>1</v>
      </c>
      <c r="AG618" t="s">
        <v>64</v>
      </c>
      <c r="AH618" s="1" t="s">
        <v>64</v>
      </c>
    </row>
    <row r="619" spans="1:34" ht="15" customHeight="1">
      <c r="A619" t="s">
        <v>1021</v>
      </c>
      <c r="B619" t="s">
        <v>1022</v>
      </c>
      <c r="C619" s="1">
        <v>3</v>
      </c>
      <c r="D619" t="s">
        <v>38</v>
      </c>
      <c r="E619" t="s">
        <v>38</v>
      </c>
      <c r="F619" t="s">
        <v>39</v>
      </c>
      <c r="G619" t="s">
        <v>40</v>
      </c>
      <c r="H619" t="s">
        <v>1023</v>
      </c>
      <c r="I619" t="s">
        <v>42</v>
      </c>
      <c r="J619" t="s">
        <v>42</v>
      </c>
      <c r="K619" t="s">
        <v>42</v>
      </c>
      <c r="L619" t="s">
        <v>42</v>
      </c>
      <c r="M619" s="1" t="s">
        <v>42</v>
      </c>
      <c r="N619" s="39" t="s">
        <v>359</v>
      </c>
      <c r="O619" t="s">
        <v>86</v>
      </c>
      <c r="P619" s="39" t="s">
        <v>1024</v>
      </c>
      <c r="Q619" t="s">
        <v>1025</v>
      </c>
      <c r="R619" t="s">
        <v>1026</v>
      </c>
      <c r="S619" t="s">
        <v>636</v>
      </c>
      <c r="T619" t="s">
        <v>42</v>
      </c>
      <c r="U619" t="s">
        <v>42</v>
      </c>
      <c r="V619" t="s">
        <v>42</v>
      </c>
      <c r="W619" s="8" t="s">
        <v>64</v>
      </c>
      <c r="X619" t="s">
        <v>42</v>
      </c>
      <c r="Y619" s="8">
        <v>1</v>
      </c>
      <c r="Z619">
        <v>1</v>
      </c>
      <c r="AA619">
        <v>0</v>
      </c>
      <c r="AB619">
        <v>0</v>
      </c>
      <c r="AC619" s="5">
        <v>2015</v>
      </c>
      <c r="AD619" s="1">
        <v>2018</v>
      </c>
      <c r="AE619" s="6">
        <v>3</v>
      </c>
      <c r="AF619">
        <v>1</v>
      </c>
      <c r="AG619" t="s">
        <v>64</v>
      </c>
      <c r="AH619" s="1" t="s">
        <v>64</v>
      </c>
    </row>
    <row r="620" spans="1:34" ht="15" customHeight="1">
      <c r="A620" t="s">
        <v>1021</v>
      </c>
      <c r="B620" t="s">
        <v>1022</v>
      </c>
      <c r="C620" s="1">
        <v>4</v>
      </c>
      <c r="D620" t="s">
        <v>38</v>
      </c>
      <c r="E620" t="s">
        <v>38</v>
      </c>
      <c r="F620" t="s">
        <v>39</v>
      </c>
      <c r="G620" t="s">
        <v>40</v>
      </c>
      <c r="H620" t="s">
        <v>1023</v>
      </c>
      <c r="I620" t="s">
        <v>42</v>
      </c>
      <c r="J620" t="s">
        <v>42</v>
      </c>
      <c r="K620" t="s">
        <v>42</v>
      </c>
      <c r="L620" t="s">
        <v>42</v>
      </c>
      <c r="M620" s="1" t="s">
        <v>42</v>
      </c>
      <c r="N620" s="39" t="s">
        <v>359</v>
      </c>
      <c r="O620" t="s">
        <v>86</v>
      </c>
      <c r="P620" s="39" t="s">
        <v>1024</v>
      </c>
      <c r="Q620" t="s">
        <v>1027</v>
      </c>
      <c r="R620" t="s">
        <v>1028</v>
      </c>
      <c r="S620" t="s">
        <v>636</v>
      </c>
      <c r="T620" t="s">
        <v>42</v>
      </c>
      <c r="U620" t="s">
        <v>42</v>
      </c>
      <c r="V620" t="s">
        <v>42</v>
      </c>
      <c r="W620" s="8" t="s">
        <v>64</v>
      </c>
      <c r="X620" t="s">
        <v>42</v>
      </c>
      <c r="Y620" s="8">
        <v>1</v>
      </c>
      <c r="Z620">
        <v>1</v>
      </c>
      <c r="AA620">
        <v>0</v>
      </c>
      <c r="AB620">
        <v>0</v>
      </c>
      <c r="AC620" s="5">
        <v>2015</v>
      </c>
      <c r="AD620" s="1">
        <v>2018</v>
      </c>
      <c r="AE620" s="6">
        <v>3</v>
      </c>
      <c r="AF620">
        <v>1</v>
      </c>
      <c r="AG620" t="s">
        <v>64</v>
      </c>
      <c r="AH620" s="1" t="s">
        <v>64</v>
      </c>
    </row>
    <row r="621" spans="1:34" s="9" customFormat="1" ht="15" customHeight="1">
      <c r="A621" s="9" t="s">
        <v>1021</v>
      </c>
      <c r="B621" s="9" t="s">
        <v>1022</v>
      </c>
      <c r="C621" s="10">
        <v>5</v>
      </c>
      <c r="D621" s="9" t="s">
        <v>38</v>
      </c>
      <c r="E621" s="9" t="s">
        <v>38</v>
      </c>
      <c r="F621" s="9" t="s">
        <v>116</v>
      </c>
      <c r="G621" s="9" t="s">
        <v>40</v>
      </c>
      <c r="H621" s="9" t="s">
        <v>42</v>
      </c>
      <c r="I621" s="9" t="s">
        <v>42</v>
      </c>
      <c r="J621" s="9" t="s">
        <v>42</v>
      </c>
      <c r="K621" s="9" t="s">
        <v>1029</v>
      </c>
      <c r="L621" s="9" t="s">
        <v>42</v>
      </c>
      <c r="M621" s="10" t="s">
        <v>42</v>
      </c>
      <c r="N621" s="40" t="s">
        <v>106</v>
      </c>
      <c r="O621" s="9" t="s">
        <v>86</v>
      </c>
      <c r="P621" s="40" t="s">
        <v>1030</v>
      </c>
      <c r="Q621" s="9" t="s">
        <v>42</v>
      </c>
      <c r="R621" s="9" t="s">
        <v>42</v>
      </c>
      <c r="S621" s="9" t="s">
        <v>1031</v>
      </c>
      <c r="T621" s="9" t="s">
        <v>42</v>
      </c>
      <c r="U621" s="9" t="s">
        <v>42</v>
      </c>
      <c r="V621" s="9" t="s">
        <v>42</v>
      </c>
      <c r="W621" s="11" t="s">
        <v>64</v>
      </c>
      <c r="X621" s="9" t="s">
        <v>42</v>
      </c>
      <c r="Y621" s="11">
        <v>1</v>
      </c>
      <c r="Z621" s="9">
        <v>1</v>
      </c>
      <c r="AA621" s="9">
        <v>0</v>
      </c>
      <c r="AB621" s="9">
        <v>0</v>
      </c>
      <c r="AC621" s="12">
        <v>2015</v>
      </c>
      <c r="AD621" s="10">
        <v>2018</v>
      </c>
      <c r="AE621" s="13">
        <v>3</v>
      </c>
      <c r="AF621" s="9">
        <v>1</v>
      </c>
      <c r="AG621" s="9" t="s">
        <v>64</v>
      </c>
      <c r="AH621" s="10" t="s">
        <v>64</v>
      </c>
    </row>
    <row r="622" spans="1:34" ht="15" customHeight="1">
      <c r="A622" t="s">
        <v>1032</v>
      </c>
      <c r="B622" t="s">
        <v>1033</v>
      </c>
      <c r="C622" s="1">
        <v>1</v>
      </c>
      <c r="D622" t="s">
        <v>38</v>
      </c>
      <c r="E622" t="s">
        <v>38</v>
      </c>
      <c r="F622" t="s">
        <v>39</v>
      </c>
      <c r="G622" t="s">
        <v>40</v>
      </c>
      <c r="H622" t="s">
        <v>41</v>
      </c>
      <c r="I622" t="s">
        <v>42</v>
      </c>
      <c r="J622" t="s">
        <v>42</v>
      </c>
      <c r="K622" t="s">
        <v>42</v>
      </c>
      <c r="L622" t="s">
        <v>42</v>
      </c>
      <c r="M622" s="1" t="s">
        <v>42</v>
      </c>
      <c r="N622" s="39" t="s">
        <v>132</v>
      </c>
      <c r="O622" t="s">
        <v>86</v>
      </c>
      <c r="P622" s="39" t="s">
        <v>1034</v>
      </c>
      <c r="Q622" t="s">
        <v>1035</v>
      </c>
      <c r="R622" t="s">
        <v>1036</v>
      </c>
      <c r="S622" t="s">
        <v>1019</v>
      </c>
      <c r="T622" t="s">
        <v>42</v>
      </c>
      <c r="U622" t="s">
        <v>42</v>
      </c>
      <c r="V622" t="s">
        <v>42</v>
      </c>
      <c r="W622" s="8" t="s">
        <v>64</v>
      </c>
      <c r="X622" t="s">
        <v>42</v>
      </c>
      <c r="Y622" s="8">
        <v>0</v>
      </c>
      <c r="Z622">
        <v>1</v>
      </c>
      <c r="AA622">
        <v>0</v>
      </c>
      <c r="AB622">
        <v>1</v>
      </c>
      <c r="AC622" s="5">
        <v>1989</v>
      </c>
      <c r="AD622" s="1">
        <v>2009</v>
      </c>
      <c r="AE622" s="6">
        <f t="shared" ref="AE622:AE635" si="14">AD622-AC622</f>
        <v>20</v>
      </c>
      <c r="AF622">
        <v>2</v>
      </c>
      <c r="AG622" t="s">
        <v>50</v>
      </c>
      <c r="AH622" s="1" t="s">
        <v>50</v>
      </c>
    </row>
    <row r="623" spans="1:34" ht="15" customHeight="1">
      <c r="A623" t="s">
        <v>1032</v>
      </c>
      <c r="B623" t="s">
        <v>1033</v>
      </c>
      <c r="C623" s="1">
        <v>2</v>
      </c>
      <c r="D623" t="s">
        <v>38</v>
      </c>
      <c r="E623" t="s">
        <v>38</v>
      </c>
      <c r="F623" t="s">
        <v>39</v>
      </c>
      <c r="G623" t="s">
        <v>40</v>
      </c>
      <c r="H623" t="s">
        <v>41</v>
      </c>
      <c r="I623" t="s">
        <v>42</v>
      </c>
      <c r="J623" t="s">
        <v>42</v>
      </c>
      <c r="K623" t="s">
        <v>42</v>
      </c>
      <c r="L623" t="s">
        <v>42</v>
      </c>
      <c r="M623" s="1" t="s">
        <v>42</v>
      </c>
      <c r="N623" s="39" t="s">
        <v>132</v>
      </c>
      <c r="O623" t="s">
        <v>86</v>
      </c>
      <c r="P623" s="39" t="s">
        <v>1034</v>
      </c>
      <c r="Q623" t="s">
        <v>1035</v>
      </c>
      <c r="R623" t="s">
        <v>1037</v>
      </c>
      <c r="S623" t="s">
        <v>1019</v>
      </c>
      <c r="T623" t="s">
        <v>42</v>
      </c>
      <c r="U623" t="s">
        <v>42</v>
      </c>
      <c r="V623" t="s">
        <v>42</v>
      </c>
      <c r="W623" s="8" t="s">
        <v>64</v>
      </c>
      <c r="X623" t="s">
        <v>42</v>
      </c>
      <c r="Y623" s="8">
        <v>0</v>
      </c>
      <c r="Z623">
        <v>1</v>
      </c>
      <c r="AA623">
        <v>0</v>
      </c>
      <c r="AB623">
        <v>1</v>
      </c>
      <c r="AC623" s="5">
        <v>1989</v>
      </c>
      <c r="AD623" s="1">
        <v>2009</v>
      </c>
      <c r="AE623" s="6">
        <f t="shared" si="14"/>
        <v>20</v>
      </c>
      <c r="AF623">
        <v>2</v>
      </c>
      <c r="AG623" t="s">
        <v>50</v>
      </c>
      <c r="AH623" s="1" t="s">
        <v>50</v>
      </c>
    </row>
    <row r="624" spans="1:34" ht="15" customHeight="1">
      <c r="A624" t="s">
        <v>1032</v>
      </c>
      <c r="B624" t="s">
        <v>1033</v>
      </c>
      <c r="C624" s="1">
        <v>3</v>
      </c>
      <c r="D624" t="s">
        <v>38</v>
      </c>
      <c r="E624" t="s">
        <v>38</v>
      </c>
      <c r="F624" t="s">
        <v>39</v>
      </c>
      <c r="G624" t="s">
        <v>40</v>
      </c>
      <c r="H624" t="s">
        <v>41</v>
      </c>
      <c r="I624" t="s">
        <v>42</v>
      </c>
      <c r="J624" t="s">
        <v>42</v>
      </c>
      <c r="K624" t="s">
        <v>42</v>
      </c>
      <c r="L624" t="s">
        <v>42</v>
      </c>
      <c r="M624" s="1" t="s">
        <v>42</v>
      </c>
      <c r="N624" s="39" t="s">
        <v>132</v>
      </c>
      <c r="O624" t="s">
        <v>86</v>
      </c>
      <c r="P624" s="39" t="s">
        <v>1034</v>
      </c>
      <c r="Q624" t="s">
        <v>1035</v>
      </c>
      <c r="R624" t="s">
        <v>1038</v>
      </c>
      <c r="S624" t="s">
        <v>1019</v>
      </c>
      <c r="T624" t="s">
        <v>42</v>
      </c>
      <c r="U624" t="s">
        <v>42</v>
      </c>
      <c r="V624" t="s">
        <v>42</v>
      </c>
      <c r="W624" s="8" t="s">
        <v>64</v>
      </c>
      <c r="X624" t="s">
        <v>42</v>
      </c>
      <c r="Y624" s="8">
        <v>0</v>
      </c>
      <c r="Z624">
        <v>1</v>
      </c>
      <c r="AA624">
        <v>0</v>
      </c>
      <c r="AB624">
        <v>1</v>
      </c>
      <c r="AC624" s="5">
        <v>1989</v>
      </c>
      <c r="AD624" s="1">
        <v>2009</v>
      </c>
      <c r="AE624" s="6">
        <f t="shared" si="14"/>
        <v>20</v>
      </c>
      <c r="AF624">
        <v>2</v>
      </c>
      <c r="AG624" t="s">
        <v>50</v>
      </c>
      <c r="AH624" s="1" t="s">
        <v>50</v>
      </c>
    </row>
    <row r="625" spans="1:34" ht="15" customHeight="1">
      <c r="A625" t="s">
        <v>1032</v>
      </c>
      <c r="B625" t="s">
        <v>1033</v>
      </c>
      <c r="C625" s="1">
        <v>4</v>
      </c>
      <c r="D625" t="s">
        <v>38</v>
      </c>
      <c r="E625" t="s">
        <v>38</v>
      </c>
      <c r="F625" t="s">
        <v>39</v>
      </c>
      <c r="G625" t="s">
        <v>40</v>
      </c>
      <c r="H625" t="s">
        <v>41</v>
      </c>
      <c r="I625" t="s">
        <v>42</v>
      </c>
      <c r="J625" t="s">
        <v>42</v>
      </c>
      <c r="K625" t="s">
        <v>42</v>
      </c>
      <c r="L625" t="s">
        <v>42</v>
      </c>
      <c r="M625" s="1" t="s">
        <v>42</v>
      </c>
      <c r="N625" s="39" t="s">
        <v>132</v>
      </c>
      <c r="O625" t="s">
        <v>86</v>
      </c>
      <c r="P625" s="39" t="s">
        <v>1034</v>
      </c>
      <c r="Q625" t="s">
        <v>1035</v>
      </c>
      <c r="R625" t="s">
        <v>1039</v>
      </c>
      <c r="S625" t="s">
        <v>1019</v>
      </c>
      <c r="T625" t="s">
        <v>42</v>
      </c>
      <c r="U625" t="s">
        <v>42</v>
      </c>
      <c r="V625" t="s">
        <v>42</v>
      </c>
      <c r="W625" s="8" t="s">
        <v>64</v>
      </c>
      <c r="X625" t="s">
        <v>42</v>
      </c>
      <c r="Y625" s="8">
        <v>0</v>
      </c>
      <c r="Z625">
        <v>1</v>
      </c>
      <c r="AA625">
        <v>0</v>
      </c>
      <c r="AB625">
        <v>1</v>
      </c>
      <c r="AC625" s="5">
        <v>1989</v>
      </c>
      <c r="AD625" s="1">
        <v>2009</v>
      </c>
      <c r="AE625" s="6">
        <f t="shared" si="14"/>
        <v>20</v>
      </c>
      <c r="AF625">
        <v>2</v>
      </c>
      <c r="AG625" t="s">
        <v>50</v>
      </c>
      <c r="AH625" s="1" t="s">
        <v>50</v>
      </c>
    </row>
    <row r="626" spans="1:34" ht="15" customHeight="1">
      <c r="A626" t="s">
        <v>1032</v>
      </c>
      <c r="B626" t="s">
        <v>1033</v>
      </c>
      <c r="C626" s="1">
        <v>5</v>
      </c>
      <c r="D626" t="s">
        <v>38</v>
      </c>
      <c r="E626" t="s">
        <v>38</v>
      </c>
      <c r="F626" t="s">
        <v>39</v>
      </c>
      <c r="G626" t="s">
        <v>40</v>
      </c>
      <c r="H626" t="s">
        <v>41</v>
      </c>
      <c r="I626" t="s">
        <v>42</v>
      </c>
      <c r="J626" t="s">
        <v>42</v>
      </c>
      <c r="K626" t="s">
        <v>42</v>
      </c>
      <c r="L626" t="s">
        <v>42</v>
      </c>
      <c r="M626" s="1" t="s">
        <v>42</v>
      </c>
      <c r="N626" s="39" t="s">
        <v>132</v>
      </c>
      <c r="O626" t="s">
        <v>86</v>
      </c>
      <c r="P626" s="39" t="s">
        <v>1034</v>
      </c>
      <c r="Q626" t="s">
        <v>1035</v>
      </c>
      <c r="R626" t="s">
        <v>1040</v>
      </c>
      <c r="S626" t="s">
        <v>1019</v>
      </c>
      <c r="T626" t="s">
        <v>42</v>
      </c>
      <c r="U626" t="s">
        <v>42</v>
      </c>
      <c r="V626" t="s">
        <v>42</v>
      </c>
      <c r="W626" s="8" t="s">
        <v>64</v>
      </c>
      <c r="X626" t="s">
        <v>42</v>
      </c>
      <c r="Y626" s="8">
        <v>0</v>
      </c>
      <c r="Z626">
        <v>1</v>
      </c>
      <c r="AA626">
        <v>0</v>
      </c>
      <c r="AB626">
        <v>1</v>
      </c>
      <c r="AC626" s="5">
        <v>1989</v>
      </c>
      <c r="AD626" s="1">
        <v>2009</v>
      </c>
      <c r="AE626" s="6">
        <f t="shared" si="14"/>
        <v>20</v>
      </c>
      <c r="AF626">
        <v>2</v>
      </c>
      <c r="AG626" t="s">
        <v>50</v>
      </c>
      <c r="AH626" s="1" t="s">
        <v>50</v>
      </c>
    </row>
    <row r="627" spans="1:34" ht="15" customHeight="1">
      <c r="A627" t="s">
        <v>1032</v>
      </c>
      <c r="B627" t="s">
        <v>1033</v>
      </c>
      <c r="C627" s="1">
        <v>6</v>
      </c>
      <c r="D627" t="s">
        <v>38</v>
      </c>
      <c r="E627" t="s">
        <v>38</v>
      </c>
      <c r="F627" t="s">
        <v>39</v>
      </c>
      <c r="G627" t="s">
        <v>40</v>
      </c>
      <c r="H627" t="s">
        <v>41</v>
      </c>
      <c r="I627" t="s">
        <v>42</v>
      </c>
      <c r="J627" t="s">
        <v>42</v>
      </c>
      <c r="K627" t="s">
        <v>42</v>
      </c>
      <c r="L627" t="s">
        <v>42</v>
      </c>
      <c r="M627" s="1" t="s">
        <v>42</v>
      </c>
      <c r="N627" s="39" t="s">
        <v>132</v>
      </c>
      <c r="O627" t="s">
        <v>86</v>
      </c>
      <c r="P627" s="39" t="s">
        <v>1034</v>
      </c>
      <c r="Q627" t="s">
        <v>1035</v>
      </c>
      <c r="R627" t="s">
        <v>1041</v>
      </c>
      <c r="S627" t="s">
        <v>1019</v>
      </c>
      <c r="T627" t="s">
        <v>42</v>
      </c>
      <c r="U627" t="s">
        <v>42</v>
      </c>
      <c r="V627" t="s">
        <v>42</v>
      </c>
      <c r="W627" s="8" t="s">
        <v>64</v>
      </c>
      <c r="X627" t="s">
        <v>42</v>
      </c>
      <c r="Y627" s="8">
        <v>0</v>
      </c>
      <c r="Z627">
        <v>1</v>
      </c>
      <c r="AA627">
        <v>0</v>
      </c>
      <c r="AB627">
        <v>1</v>
      </c>
      <c r="AC627" s="5">
        <v>1989</v>
      </c>
      <c r="AD627" s="1">
        <v>2009</v>
      </c>
      <c r="AE627" s="6">
        <f t="shared" si="14"/>
        <v>20</v>
      </c>
      <c r="AF627">
        <v>2</v>
      </c>
      <c r="AG627" t="s">
        <v>50</v>
      </c>
      <c r="AH627" s="1" t="s">
        <v>50</v>
      </c>
    </row>
    <row r="628" spans="1:34" ht="15" customHeight="1">
      <c r="A628" t="s">
        <v>1032</v>
      </c>
      <c r="B628" t="s">
        <v>1033</v>
      </c>
      <c r="C628" s="1">
        <v>7</v>
      </c>
      <c r="D628" t="s">
        <v>38</v>
      </c>
      <c r="E628" t="s">
        <v>38</v>
      </c>
      <c r="F628" t="s">
        <v>39</v>
      </c>
      <c r="G628" t="s">
        <v>40</v>
      </c>
      <c r="H628" t="s">
        <v>41</v>
      </c>
      <c r="I628" t="s">
        <v>42</v>
      </c>
      <c r="J628" t="s">
        <v>42</v>
      </c>
      <c r="K628" t="s">
        <v>42</v>
      </c>
      <c r="L628" t="s">
        <v>42</v>
      </c>
      <c r="M628" s="1" t="s">
        <v>42</v>
      </c>
      <c r="N628" s="39" t="s">
        <v>132</v>
      </c>
      <c r="O628" t="s">
        <v>86</v>
      </c>
      <c r="P628" s="39" t="s">
        <v>1034</v>
      </c>
      <c r="Q628" t="s">
        <v>1035</v>
      </c>
      <c r="R628" t="s">
        <v>1042</v>
      </c>
      <c r="S628" t="s">
        <v>1019</v>
      </c>
      <c r="T628" t="s">
        <v>42</v>
      </c>
      <c r="U628" t="s">
        <v>42</v>
      </c>
      <c r="V628" t="s">
        <v>42</v>
      </c>
      <c r="W628" s="8" t="s">
        <v>64</v>
      </c>
      <c r="X628" t="s">
        <v>42</v>
      </c>
      <c r="Y628" s="8">
        <v>0</v>
      </c>
      <c r="Z628">
        <v>1</v>
      </c>
      <c r="AA628">
        <v>0</v>
      </c>
      <c r="AB628">
        <v>1</v>
      </c>
      <c r="AC628" s="5">
        <v>1989</v>
      </c>
      <c r="AD628" s="1">
        <v>2009</v>
      </c>
      <c r="AE628" s="6">
        <f t="shared" si="14"/>
        <v>20</v>
      </c>
      <c r="AF628">
        <v>2</v>
      </c>
      <c r="AG628" t="s">
        <v>50</v>
      </c>
      <c r="AH628" s="1" t="s">
        <v>50</v>
      </c>
    </row>
    <row r="629" spans="1:34" ht="15" customHeight="1">
      <c r="A629" t="s">
        <v>1032</v>
      </c>
      <c r="B629" t="s">
        <v>1033</v>
      </c>
      <c r="C629" s="1">
        <v>8</v>
      </c>
      <c r="D629" t="s">
        <v>38</v>
      </c>
      <c r="E629" t="s">
        <v>38</v>
      </c>
      <c r="F629" t="s">
        <v>39</v>
      </c>
      <c r="G629" t="s">
        <v>40</v>
      </c>
      <c r="H629" t="s">
        <v>41</v>
      </c>
      <c r="I629" t="s">
        <v>42</v>
      </c>
      <c r="J629" t="s">
        <v>42</v>
      </c>
      <c r="K629" t="s">
        <v>42</v>
      </c>
      <c r="L629" t="s">
        <v>42</v>
      </c>
      <c r="M629" s="1" t="s">
        <v>42</v>
      </c>
      <c r="N629" s="39" t="s">
        <v>132</v>
      </c>
      <c r="O629" t="s">
        <v>86</v>
      </c>
      <c r="P629" s="39" t="s">
        <v>1034</v>
      </c>
      <c r="Q629" t="s">
        <v>1035</v>
      </c>
      <c r="R629" t="s">
        <v>1043</v>
      </c>
      <c r="S629" t="s">
        <v>1019</v>
      </c>
      <c r="T629" t="s">
        <v>42</v>
      </c>
      <c r="U629" t="s">
        <v>42</v>
      </c>
      <c r="V629" t="s">
        <v>42</v>
      </c>
      <c r="W629" s="8" t="s">
        <v>64</v>
      </c>
      <c r="X629" t="s">
        <v>42</v>
      </c>
      <c r="Y629" s="8">
        <v>0</v>
      </c>
      <c r="Z629">
        <v>1</v>
      </c>
      <c r="AA629">
        <v>0</v>
      </c>
      <c r="AB629">
        <v>1</v>
      </c>
      <c r="AC629" s="5">
        <v>1989</v>
      </c>
      <c r="AD629" s="1">
        <v>2009</v>
      </c>
      <c r="AE629" s="6">
        <f t="shared" si="14"/>
        <v>20</v>
      </c>
      <c r="AF629">
        <v>2</v>
      </c>
      <c r="AG629" t="s">
        <v>50</v>
      </c>
      <c r="AH629" s="1" t="s">
        <v>50</v>
      </c>
    </row>
    <row r="630" spans="1:34" ht="15" customHeight="1">
      <c r="A630" t="s">
        <v>1032</v>
      </c>
      <c r="B630" t="s">
        <v>1033</v>
      </c>
      <c r="C630" s="1">
        <v>9</v>
      </c>
      <c r="D630" t="s">
        <v>38</v>
      </c>
      <c r="E630" t="s">
        <v>38</v>
      </c>
      <c r="F630" t="s">
        <v>39</v>
      </c>
      <c r="G630" t="s">
        <v>40</v>
      </c>
      <c r="H630" t="s">
        <v>41</v>
      </c>
      <c r="I630" t="s">
        <v>42</v>
      </c>
      <c r="J630" t="s">
        <v>42</v>
      </c>
      <c r="K630" t="s">
        <v>42</v>
      </c>
      <c r="L630" t="s">
        <v>42</v>
      </c>
      <c r="M630" s="1" t="s">
        <v>42</v>
      </c>
      <c r="N630" s="39" t="s">
        <v>132</v>
      </c>
      <c r="O630" t="s">
        <v>86</v>
      </c>
      <c r="P630" s="39" t="s">
        <v>1034</v>
      </c>
      <c r="Q630" t="s">
        <v>1035</v>
      </c>
      <c r="R630" t="s">
        <v>1044</v>
      </c>
      <c r="S630" t="s">
        <v>1019</v>
      </c>
      <c r="T630" t="s">
        <v>42</v>
      </c>
      <c r="U630" t="s">
        <v>42</v>
      </c>
      <c r="V630" t="s">
        <v>42</v>
      </c>
      <c r="W630" s="8" t="s">
        <v>64</v>
      </c>
      <c r="X630" t="s">
        <v>42</v>
      </c>
      <c r="Y630" s="8">
        <v>0</v>
      </c>
      <c r="Z630">
        <v>1</v>
      </c>
      <c r="AA630">
        <v>0</v>
      </c>
      <c r="AB630">
        <v>1</v>
      </c>
      <c r="AC630" s="5">
        <v>1989</v>
      </c>
      <c r="AD630" s="1">
        <v>2009</v>
      </c>
      <c r="AE630" s="6">
        <f t="shared" si="14"/>
        <v>20</v>
      </c>
      <c r="AF630">
        <v>2</v>
      </c>
      <c r="AG630" t="s">
        <v>50</v>
      </c>
      <c r="AH630" s="1" t="s">
        <v>50</v>
      </c>
    </row>
    <row r="631" spans="1:34" ht="15" customHeight="1">
      <c r="A631" t="s">
        <v>1032</v>
      </c>
      <c r="B631" t="s">
        <v>1033</v>
      </c>
      <c r="C631" s="1">
        <v>10</v>
      </c>
      <c r="D631" t="s">
        <v>38</v>
      </c>
      <c r="E631" t="s">
        <v>38</v>
      </c>
      <c r="F631" t="s">
        <v>39</v>
      </c>
      <c r="G631" t="s">
        <v>40</v>
      </c>
      <c r="H631" t="s">
        <v>41</v>
      </c>
      <c r="I631" t="s">
        <v>42</v>
      </c>
      <c r="J631" t="s">
        <v>42</v>
      </c>
      <c r="K631" t="s">
        <v>42</v>
      </c>
      <c r="L631" t="s">
        <v>42</v>
      </c>
      <c r="M631" s="1" t="s">
        <v>42</v>
      </c>
      <c r="N631" s="39" t="s">
        <v>269</v>
      </c>
      <c r="O631" t="s">
        <v>44</v>
      </c>
      <c r="P631" s="39" t="s">
        <v>269</v>
      </c>
      <c r="Q631" t="s">
        <v>1035</v>
      </c>
      <c r="R631" t="s">
        <v>42</v>
      </c>
      <c r="S631" t="s">
        <v>1045</v>
      </c>
      <c r="T631" t="s">
        <v>42</v>
      </c>
      <c r="U631" t="s">
        <v>42</v>
      </c>
      <c r="V631" t="s">
        <v>42</v>
      </c>
      <c r="W631" s="8" t="s">
        <v>50</v>
      </c>
      <c r="X631" t="s">
        <v>268</v>
      </c>
      <c r="Y631" s="8">
        <v>0</v>
      </c>
      <c r="Z631">
        <v>1</v>
      </c>
      <c r="AA631">
        <v>0</v>
      </c>
      <c r="AB631">
        <v>1</v>
      </c>
      <c r="AC631" s="5">
        <v>1989</v>
      </c>
      <c r="AD631" s="1">
        <v>2009</v>
      </c>
      <c r="AE631" s="6">
        <f t="shared" si="14"/>
        <v>20</v>
      </c>
      <c r="AF631">
        <v>2</v>
      </c>
      <c r="AG631" t="s">
        <v>50</v>
      </c>
      <c r="AH631" s="1" t="s">
        <v>50</v>
      </c>
    </row>
    <row r="632" spans="1:34" ht="15" customHeight="1">
      <c r="A632" t="s">
        <v>1032</v>
      </c>
      <c r="B632" t="s">
        <v>1033</v>
      </c>
      <c r="C632" s="1">
        <v>11</v>
      </c>
      <c r="D632" t="s">
        <v>38</v>
      </c>
      <c r="E632" t="s">
        <v>38</v>
      </c>
      <c r="F632" t="s">
        <v>39</v>
      </c>
      <c r="G632" t="s">
        <v>40</v>
      </c>
      <c r="H632" t="s">
        <v>41</v>
      </c>
      <c r="I632" t="s">
        <v>42</v>
      </c>
      <c r="J632" t="s">
        <v>42</v>
      </c>
      <c r="K632" t="s">
        <v>42</v>
      </c>
      <c r="L632" t="s">
        <v>42</v>
      </c>
      <c r="M632" s="1" t="s">
        <v>42</v>
      </c>
      <c r="N632" s="39" t="s">
        <v>79</v>
      </c>
      <c r="O632" t="s">
        <v>44</v>
      </c>
      <c r="P632" s="39" t="s">
        <v>79</v>
      </c>
      <c r="Q632" t="s">
        <v>1035</v>
      </c>
      <c r="R632" t="s">
        <v>42</v>
      </c>
      <c r="S632" t="s">
        <v>1046</v>
      </c>
      <c r="T632" t="s">
        <v>42</v>
      </c>
      <c r="U632" t="s">
        <v>42</v>
      </c>
      <c r="V632" t="s">
        <v>42</v>
      </c>
      <c r="W632" s="8" t="s">
        <v>50</v>
      </c>
      <c r="X632" t="s">
        <v>268</v>
      </c>
      <c r="Y632" s="8">
        <v>0</v>
      </c>
      <c r="Z632">
        <v>1</v>
      </c>
      <c r="AA632">
        <v>0</v>
      </c>
      <c r="AB632">
        <v>1</v>
      </c>
      <c r="AC632" s="5">
        <v>1989</v>
      </c>
      <c r="AD632" s="1">
        <v>2009</v>
      </c>
      <c r="AE632" s="6">
        <f t="shared" si="14"/>
        <v>20</v>
      </c>
      <c r="AF632">
        <v>2</v>
      </c>
      <c r="AG632" t="s">
        <v>50</v>
      </c>
      <c r="AH632" s="1" t="s">
        <v>50</v>
      </c>
    </row>
    <row r="633" spans="1:34" ht="15" customHeight="1">
      <c r="A633" t="s">
        <v>1032</v>
      </c>
      <c r="B633" t="s">
        <v>1033</v>
      </c>
      <c r="C633" s="1">
        <v>12</v>
      </c>
      <c r="D633" t="s">
        <v>38</v>
      </c>
      <c r="E633" t="s">
        <v>38</v>
      </c>
      <c r="F633" t="s">
        <v>39</v>
      </c>
      <c r="G633" t="s">
        <v>40</v>
      </c>
      <c r="H633" t="s">
        <v>41</v>
      </c>
      <c r="I633" t="s">
        <v>42</v>
      </c>
      <c r="J633" t="s">
        <v>42</v>
      </c>
      <c r="K633" t="s">
        <v>42</v>
      </c>
      <c r="L633" t="s">
        <v>42</v>
      </c>
      <c r="M633" s="1" t="s">
        <v>42</v>
      </c>
      <c r="N633" s="39" t="s">
        <v>52</v>
      </c>
      <c r="O633" t="s">
        <v>44</v>
      </c>
      <c r="P633" s="39" t="s">
        <v>52</v>
      </c>
      <c r="Q633" t="s">
        <v>1035</v>
      </c>
      <c r="R633" t="s">
        <v>42</v>
      </c>
      <c r="S633" t="s">
        <v>164</v>
      </c>
      <c r="T633" t="s">
        <v>1047</v>
      </c>
      <c r="U633" t="s">
        <v>42</v>
      </c>
      <c r="V633" t="s">
        <v>42</v>
      </c>
      <c r="W633" s="8" t="s">
        <v>50</v>
      </c>
      <c r="X633" t="s">
        <v>268</v>
      </c>
      <c r="Y633" s="8">
        <v>0</v>
      </c>
      <c r="Z633">
        <v>1</v>
      </c>
      <c r="AA633">
        <v>0</v>
      </c>
      <c r="AB633">
        <v>1</v>
      </c>
      <c r="AC633" s="5">
        <v>1989</v>
      </c>
      <c r="AD633" s="1">
        <v>2009</v>
      </c>
      <c r="AE633" s="6">
        <f t="shared" si="14"/>
        <v>20</v>
      </c>
      <c r="AF633">
        <v>2</v>
      </c>
      <c r="AG633" t="s">
        <v>50</v>
      </c>
      <c r="AH633" s="1" t="s">
        <v>50</v>
      </c>
    </row>
    <row r="634" spans="1:34" ht="15" customHeight="1">
      <c r="A634" t="s">
        <v>1032</v>
      </c>
      <c r="B634" t="s">
        <v>1033</v>
      </c>
      <c r="C634" s="1">
        <v>13</v>
      </c>
      <c r="D634" t="s">
        <v>38</v>
      </c>
      <c r="E634" t="s">
        <v>38</v>
      </c>
      <c r="F634" t="s">
        <v>39</v>
      </c>
      <c r="G634" t="s">
        <v>40</v>
      </c>
      <c r="H634" t="s">
        <v>41</v>
      </c>
      <c r="I634" t="s">
        <v>42</v>
      </c>
      <c r="J634" t="s">
        <v>42</v>
      </c>
      <c r="K634" t="s">
        <v>42</v>
      </c>
      <c r="L634" t="s">
        <v>42</v>
      </c>
      <c r="M634" s="1" t="s">
        <v>42</v>
      </c>
      <c r="N634" s="39" t="s">
        <v>52</v>
      </c>
      <c r="O634" t="s">
        <v>44</v>
      </c>
      <c r="P634" s="39" t="s">
        <v>52</v>
      </c>
      <c r="Q634" t="s">
        <v>1035</v>
      </c>
      <c r="R634" t="s">
        <v>1048</v>
      </c>
      <c r="S634" t="s">
        <v>164</v>
      </c>
      <c r="T634" t="s">
        <v>42</v>
      </c>
      <c r="U634" t="s">
        <v>42</v>
      </c>
      <c r="V634" t="s">
        <v>42</v>
      </c>
      <c r="W634" s="8" t="s">
        <v>50</v>
      </c>
      <c r="X634" t="s">
        <v>268</v>
      </c>
      <c r="Y634" s="8">
        <v>0</v>
      </c>
      <c r="Z634">
        <v>1</v>
      </c>
      <c r="AA634">
        <v>0</v>
      </c>
      <c r="AB634">
        <v>1</v>
      </c>
      <c r="AC634" s="5">
        <v>1989</v>
      </c>
      <c r="AD634" s="1">
        <v>2009</v>
      </c>
      <c r="AE634" s="6">
        <f t="shared" si="14"/>
        <v>20</v>
      </c>
      <c r="AF634">
        <v>2</v>
      </c>
      <c r="AG634" t="s">
        <v>50</v>
      </c>
      <c r="AH634" s="1" t="s">
        <v>50</v>
      </c>
    </row>
    <row r="635" spans="1:34" s="9" customFormat="1" ht="15" customHeight="1">
      <c r="A635" s="9" t="s">
        <v>1032</v>
      </c>
      <c r="B635" s="9" t="s">
        <v>1033</v>
      </c>
      <c r="C635" s="10">
        <v>14</v>
      </c>
      <c r="D635" s="9" t="s">
        <v>38</v>
      </c>
      <c r="E635" s="9" t="s">
        <v>38</v>
      </c>
      <c r="F635" s="9" t="s">
        <v>39</v>
      </c>
      <c r="G635" s="9" t="s">
        <v>40</v>
      </c>
      <c r="H635" s="9" t="s">
        <v>41</v>
      </c>
      <c r="I635" s="9" t="s">
        <v>42</v>
      </c>
      <c r="J635" s="9" t="s">
        <v>42</v>
      </c>
      <c r="K635" s="9" t="s">
        <v>42</v>
      </c>
      <c r="L635" s="9" t="s">
        <v>42</v>
      </c>
      <c r="M635" s="10" t="s">
        <v>42</v>
      </c>
      <c r="N635" s="40" t="s">
        <v>186</v>
      </c>
      <c r="O635" s="9" t="s">
        <v>44</v>
      </c>
      <c r="P635" s="40" t="s">
        <v>186</v>
      </c>
      <c r="Q635" s="9" t="s">
        <v>1035</v>
      </c>
      <c r="R635" s="9" t="s">
        <v>42</v>
      </c>
      <c r="S635" s="9" t="s">
        <v>1012</v>
      </c>
      <c r="T635" s="9" t="s">
        <v>42</v>
      </c>
      <c r="U635" s="9" t="s">
        <v>42</v>
      </c>
      <c r="V635" s="9" t="s">
        <v>42</v>
      </c>
      <c r="W635" s="11" t="s">
        <v>50</v>
      </c>
      <c r="X635" s="9" t="s">
        <v>1049</v>
      </c>
      <c r="Y635" s="11">
        <v>0</v>
      </c>
      <c r="Z635" s="9">
        <v>1</v>
      </c>
      <c r="AA635" s="9">
        <v>0</v>
      </c>
      <c r="AB635" s="9">
        <v>1</v>
      </c>
      <c r="AC635" s="12">
        <v>1989</v>
      </c>
      <c r="AD635" s="10">
        <v>2009</v>
      </c>
      <c r="AE635" s="13">
        <f t="shared" si="14"/>
        <v>20</v>
      </c>
      <c r="AF635" s="9">
        <v>2</v>
      </c>
      <c r="AG635" s="9" t="s">
        <v>50</v>
      </c>
      <c r="AH635" s="10" t="s">
        <v>50</v>
      </c>
    </row>
    <row r="636" spans="1:34" ht="15" customHeight="1">
      <c r="A636" t="s">
        <v>1050</v>
      </c>
      <c r="B636" t="s">
        <v>1051</v>
      </c>
      <c r="C636" s="1">
        <v>1</v>
      </c>
      <c r="D636" t="s">
        <v>38</v>
      </c>
      <c r="E636" t="s">
        <v>38</v>
      </c>
      <c r="F636" t="s">
        <v>39</v>
      </c>
      <c r="G636" t="s">
        <v>40</v>
      </c>
      <c r="H636" t="s">
        <v>91</v>
      </c>
      <c r="I636" t="s">
        <v>92</v>
      </c>
      <c r="J636" t="s">
        <v>42</v>
      </c>
      <c r="K636" t="s">
        <v>42</v>
      </c>
      <c r="L636" t="s">
        <v>42</v>
      </c>
      <c r="M636" s="1" t="s">
        <v>42</v>
      </c>
      <c r="N636" s="39" t="s">
        <v>43</v>
      </c>
      <c r="O636" t="s">
        <v>86</v>
      </c>
      <c r="P636" s="39" t="s">
        <v>247</v>
      </c>
      <c r="Q636" t="s">
        <v>275</v>
      </c>
      <c r="R636" t="s">
        <v>276</v>
      </c>
      <c r="S636" t="s">
        <v>136</v>
      </c>
      <c r="T636" t="s">
        <v>1052</v>
      </c>
      <c r="U636" t="s">
        <v>42</v>
      </c>
      <c r="V636" t="s">
        <v>42</v>
      </c>
      <c r="W636" s="8" t="s">
        <v>64</v>
      </c>
      <c r="X636" t="s">
        <v>42</v>
      </c>
      <c r="Y636" s="8">
        <v>3</v>
      </c>
      <c r="Z636">
        <v>9</v>
      </c>
      <c r="AA636">
        <v>0</v>
      </c>
      <c r="AB636">
        <v>0</v>
      </c>
      <c r="AC636" s="5">
        <v>2017</v>
      </c>
      <c r="AD636" s="5">
        <v>2017</v>
      </c>
      <c r="AE636" s="6" t="s">
        <v>72</v>
      </c>
      <c r="AF636">
        <v>1</v>
      </c>
      <c r="AG636" t="s">
        <v>64</v>
      </c>
      <c r="AH636" s="1" t="s">
        <v>64</v>
      </c>
    </row>
    <row r="637" spans="1:34" ht="15" customHeight="1">
      <c r="A637" t="s">
        <v>1050</v>
      </c>
      <c r="B637" t="s">
        <v>1051</v>
      </c>
      <c r="C637" s="1">
        <v>2</v>
      </c>
      <c r="D637" t="s">
        <v>38</v>
      </c>
      <c r="E637" t="s">
        <v>38</v>
      </c>
      <c r="F637" t="s">
        <v>39</v>
      </c>
      <c r="G637" t="s">
        <v>40</v>
      </c>
      <c r="H637" t="s">
        <v>91</v>
      </c>
      <c r="I637" t="s">
        <v>92</v>
      </c>
      <c r="J637" t="s">
        <v>42</v>
      </c>
      <c r="K637" t="s">
        <v>42</v>
      </c>
      <c r="L637" t="s">
        <v>42</v>
      </c>
      <c r="M637" s="1" t="s">
        <v>42</v>
      </c>
      <c r="N637" s="39" t="s">
        <v>43</v>
      </c>
      <c r="O637" t="s">
        <v>86</v>
      </c>
      <c r="P637" s="39" t="s">
        <v>1053</v>
      </c>
      <c r="Q637" t="s">
        <v>275</v>
      </c>
      <c r="R637" t="s">
        <v>276</v>
      </c>
      <c r="S637" t="s">
        <v>136</v>
      </c>
      <c r="T637" t="s">
        <v>1052</v>
      </c>
      <c r="U637" t="s">
        <v>42</v>
      </c>
      <c r="V637" t="s">
        <v>42</v>
      </c>
      <c r="W637" s="8" t="s">
        <v>64</v>
      </c>
      <c r="X637" t="s">
        <v>42</v>
      </c>
      <c r="Y637" s="8">
        <v>3</v>
      </c>
      <c r="Z637">
        <v>9</v>
      </c>
      <c r="AA637">
        <v>0</v>
      </c>
      <c r="AB637">
        <v>0</v>
      </c>
      <c r="AC637" s="5">
        <v>2017</v>
      </c>
      <c r="AD637" s="5">
        <v>2017</v>
      </c>
      <c r="AE637" s="6" t="s">
        <v>72</v>
      </c>
      <c r="AF637">
        <v>1</v>
      </c>
      <c r="AG637" t="s">
        <v>64</v>
      </c>
      <c r="AH637" s="1" t="s">
        <v>64</v>
      </c>
    </row>
    <row r="638" spans="1:34" ht="15" customHeight="1">
      <c r="A638" t="s">
        <v>1050</v>
      </c>
      <c r="B638" t="s">
        <v>1051</v>
      </c>
      <c r="C638" s="1">
        <v>3</v>
      </c>
      <c r="D638" t="s">
        <v>38</v>
      </c>
      <c r="E638" t="s">
        <v>38</v>
      </c>
      <c r="F638" t="s">
        <v>39</v>
      </c>
      <c r="G638" t="s">
        <v>40</v>
      </c>
      <c r="H638" t="s">
        <v>91</v>
      </c>
      <c r="I638" t="s">
        <v>92</v>
      </c>
      <c r="J638" t="s">
        <v>42</v>
      </c>
      <c r="K638" t="s">
        <v>42</v>
      </c>
      <c r="L638" t="s">
        <v>42</v>
      </c>
      <c r="M638" s="1" t="s">
        <v>42</v>
      </c>
      <c r="N638" s="39" t="s">
        <v>722</v>
      </c>
      <c r="O638" t="s">
        <v>86</v>
      </c>
      <c r="P638" s="39" t="s">
        <v>1054</v>
      </c>
      <c r="Q638" t="s">
        <v>275</v>
      </c>
      <c r="R638" t="s">
        <v>276</v>
      </c>
      <c r="S638" t="s">
        <v>1055</v>
      </c>
      <c r="T638" t="s">
        <v>42</v>
      </c>
      <c r="U638" t="s">
        <v>42</v>
      </c>
      <c r="V638" t="s">
        <v>42</v>
      </c>
      <c r="W638" s="8" t="s">
        <v>64</v>
      </c>
      <c r="X638" t="s">
        <v>42</v>
      </c>
      <c r="Y638" s="8">
        <v>3</v>
      </c>
      <c r="Z638">
        <v>9</v>
      </c>
      <c r="AA638">
        <v>0</v>
      </c>
      <c r="AB638">
        <v>0</v>
      </c>
      <c r="AC638" s="5">
        <v>2017</v>
      </c>
      <c r="AD638" s="5">
        <v>2017</v>
      </c>
      <c r="AE638" s="6" t="s">
        <v>72</v>
      </c>
      <c r="AF638">
        <v>1</v>
      </c>
      <c r="AG638" t="s">
        <v>64</v>
      </c>
      <c r="AH638" s="1" t="s">
        <v>64</v>
      </c>
    </row>
    <row r="639" spans="1:34" ht="15" customHeight="1">
      <c r="A639" t="s">
        <v>1050</v>
      </c>
      <c r="B639" t="s">
        <v>1051</v>
      </c>
      <c r="C639" s="1">
        <v>4</v>
      </c>
      <c r="D639" t="s">
        <v>38</v>
      </c>
      <c r="E639" t="s">
        <v>38</v>
      </c>
      <c r="F639" t="s">
        <v>39</v>
      </c>
      <c r="G639" t="s">
        <v>40</v>
      </c>
      <c r="H639" t="s">
        <v>91</v>
      </c>
      <c r="I639" t="s">
        <v>92</v>
      </c>
      <c r="J639" t="s">
        <v>42</v>
      </c>
      <c r="K639" t="s">
        <v>42</v>
      </c>
      <c r="L639" t="s">
        <v>42</v>
      </c>
      <c r="M639" s="1" t="s">
        <v>42</v>
      </c>
      <c r="N639" s="39" t="s">
        <v>722</v>
      </c>
      <c r="O639" t="s">
        <v>86</v>
      </c>
      <c r="P639" s="39" t="s">
        <v>1056</v>
      </c>
      <c r="Q639" t="s">
        <v>275</v>
      </c>
      <c r="R639" t="s">
        <v>276</v>
      </c>
      <c r="S639" t="s">
        <v>88</v>
      </c>
      <c r="T639" t="s">
        <v>42</v>
      </c>
      <c r="U639" t="s">
        <v>42</v>
      </c>
      <c r="V639" t="s">
        <v>42</v>
      </c>
      <c r="W639" s="8" t="s">
        <v>64</v>
      </c>
      <c r="X639" t="s">
        <v>42</v>
      </c>
      <c r="Y639" s="8">
        <v>3</v>
      </c>
      <c r="Z639">
        <v>9</v>
      </c>
      <c r="AA639">
        <v>0</v>
      </c>
      <c r="AB639">
        <v>0</v>
      </c>
      <c r="AC639" s="5">
        <v>2017</v>
      </c>
      <c r="AD639" s="5">
        <v>2017</v>
      </c>
      <c r="AE639" s="6" t="s">
        <v>72</v>
      </c>
      <c r="AF639">
        <v>1</v>
      </c>
      <c r="AG639" t="s">
        <v>64</v>
      </c>
      <c r="AH639" s="1" t="s">
        <v>64</v>
      </c>
    </row>
    <row r="640" spans="1:34" ht="15" customHeight="1">
      <c r="A640" t="s">
        <v>1050</v>
      </c>
      <c r="B640" t="s">
        <v>1051</v>
      </c>
      <c r="C640" s="1">
        <v>5</v>
      </c>
      <c r="D640" t="s">
        <v>38</v>
      </c>
      <c r="E640" t="s">
        <v>38</v>
      </c>
      <c r="F640" t="s">
        <v>39</v>
      </c>
      <c r="G640" t="s">
        <v>40</v>
      </c>
      <c r="H640" t="s">
        <v>91</v>
      </c>
      <c r="I640" t="s">
        <v>92</v>
      </c>
      <c r="J640" t="s">
        <v>42</v>
      </c>
      <c r="K640" t="s">
        <v>42</v>
      </c>
      <c r="L640" t="s">
        <v>42</v>
      </c>
      <c r="M640" s="1" t="s">
        <v>42</v>
      </c>
      <c r="N640" s="39" t="s">
        <v>722</v>
      </c>
      <c r="O640" t="s">
        <v>86</v>
      </c>
      <c r="P640" s="39" t="s">
        <v>1057</v>
      </c>
      <c r="Q640" t="s">
        <v>275</v>
      </c>
      <c r="R640" t="s">
        <v>276</v>
      </c>
      <c r="S640" t="s">
        <v>88</v>
      </c>
      <c r="T640" t="s">
        <v>42</v>
      </c>
      <c r="U640" t="s">
        <v>42</v>
      </c>
      <c r="V640" t="s">
        <v>42</v>
      </c>
      <c r="W640" s="8" t="s">
        <v>64</v>
      </c>
      <c r="X640" t="s">
        <v>42</v>
      </c>
      <c r="Y640" s="8">
        <v>3</v>
      </c>
      <c r="Z640">
        <v>9</v>
      </c>
      <c r="AA640">
        <v>0</v>
      </c>
      <c r="AB640">
        <v>0</v>
      </c>
      <c r="AC640" s="5">
        <v>2017</v>
      </c>
      <c r="AD640" s="5">
        <v>2017</v>
      </c>
      <c r="AE640" s="6" t="s">
        <v>72</v>
      </c>
      <c r="AF640">
        <v>1</v>
      </c>
      <c r="AG640" t="s">
        <v>64</v>
      </c>
      <c r="AH640" s="1" t="s">
        <v>64</v>
      </c>
    </row>
    <row r="641" spans="1:34" ht="15" customHeight="1">
      <c r="A641" t="s">
        <v>1050</v>
      </c>
      <c r="B641" t="s">
        <v>1051</v>
      </c>
      <c r="C641" s="1">
        <v>6</v>
      </c>
      <c r="D641" t="s">
        <v>38</v>
      </c>
      <c r="E641" t="s">
        <v>38</v>
      </c>
      <c r="F641" t="s">
        <v>39</v>
      </c>
      <c r="G641" t="s">
        <v>40</v>
      </c>
      <c r="H641" t="s">
        <v>91</v>
      </c>
      <c r="I641" t="s">
        <v>92</v>
      </c>
      <c r="J641" t="s">
        <v>42</v>
      </c>
      <c r="K641" t="s">
        <v>42</v>
      </c>
      <c r="L641" t="s">
        <v>42</v>
      </c>
      <c r="M641" s="1" t="s">
        <v>42</v>
      </c>
      <c r="N641" s="39" t="s">
        <v>99</v>
      </c>
      <c r="O641" t="s">
        <v>86</v>
      </c>
      <c r="P641" s="39" t="s">
        <v>332</v>
      </c>
      <c r="Q641" t="s">
        <v>275</v>
      </c>
      <c r="R641" t="s">
        <v>276</v>
      </c>
      <c r="S641" t="s">
        <v>88</v>
      </c>
      <c r="T641" t="s">
        <v>1058</v>
      </c>
      <c r="U641" t="s">
        <v>42</v>
      </c>
      <c r="V641" t="s">
        <v>42</v>
      </c>
      <c r="W641" s="8" t="s">
        <v>64</v>
      </c>
      <c r="X641" t="s">
        <v>42</v>
      </c>
      <c r="Y641" s="8">
        <v>3</v>
      </c>
      <c r="Z641">
        <v>9</v>
      </c>
      <c r="AA641">
        <v>0</v>
      </c>
      <c r="AB641">
        <v>0</v>
      </c>
      <c r="AC641" s="5">
        <v>2017</v>
      </c>
      <c r="AD641" s="5">
        <v>2017</v>
      </c>
      <c r="AE641" s="6" t="s">
        <v>72</v>
      </c>
      <c r="AF641">
        <v>1</v>
      </c>
      <c r="AG641" t="s">
        <v>64</v>
      </c>
      <c r="AH641" s="1" t="s">
        <v>64</v>
      </c>
    </row>
    <row r="642" spans="1:34" ht="15" customHeight="1">
      <c r="A642" t="s">
        <v>1050</v>
      </c>
      <c r="B642" t="s">
        <v>1051</v>
      </c>
      <c r="C642" s="1">
        <v>7</v>
      </c>
      <c r="D642" t="s">
        <v>38</v>
      </c>
      <c r="E642" t="s">
        <v>38</v>
      </c>
      <c r="F642" t="s">
        <v>39</v>
      </c>
      <c r="G642" t="s">
        <v>40</v>
      </c>
      <c r="H642" t="s">
        <v>1059</v>
      </c>
      <c r="I642" t="s">
        <v>92</v>
      </c>
      <c r="J642" t="s">
        <v>42</v>
      </c>
      <c r="K642" t="s">
        <v>42</v>
      </c>
      <c r="L642" t="s">
        <v>42</v>
      </c>
      <c r="M642" s="1" t="s">
        <v>42</v>
      </c>
      <c r="N642" s="39" t="s">
        <v>722</v>
      </c>
      <c r="O642" t="s">
        <v>86</v>
      </c>
      <c r="P642" s="39" t="s">
        <v>1060</v>
      </c>
      <c r="Q642" t="s">
        <v>42</v>
      </c>
      <c r="R642" t="s">
        <v>42</v>
      </c>
      <c r="S642" t="s">
        <v>1061</v>
      </c>
      <c r="T642" t="s">
        <v>42</v>
      </c>
      <c r="U642" t="s">
        <v>42</v>
      </c>
      <c r="V642" t="s">
        <v>42</v>
      </c>
      <c r="W642" s="8" t="s">
        <v>64</v>
      </c>
      <c r="X642" t="s">
        <v>42</v>
      </c>
      <c r="Y642" s="8">
        <v>3</v>
      </c>
      <c r="Z642">
        <v>9</v>
      </c>
      <c r="AA642">
        <v>0</v>
      </c>
      <c r="AB642">
        <v>0</v>
      </c>
      <c r="AC642" s="5">
        <v>2017</v>
      </c>
      <c r="AD642" s="5">
        <v>2017</v>
      </c>
      <c r="AE642" s="6" t="s">
        <v>72</v>
      </c>
      <c r="AF642">
        <v>1</v>
      </c>
      <c r="AG642" t="s">
        <v>64</v>
      </c>
      <c r="AH642" s="1" t="s">
        <v>64</v>
      </c>
    </row>
    <row r="643" spans="1:34" ht="15" customHeight="1">
      <c r="A643" t="s">
        <v>1050</v>
      </c>
      <c r="B643" t="s">
        <v>1051</v>
      </c>
      <c r="C643" s="1">
        <v>8</v>
      </c>
      <c r="D643" t="s">
        <v>38</v>
      </c>
      <c r="E643" t="s">
        <v>38</v>
      </c>
      <c r="F643" t="s">
        <v>39</v>
      </c>
      <c r="G643" t="s">
        <v>40</v>
      </c>
      <c r="H643" t="s">
        <v>1059</v>
      </c>
      <c r="I643" t="s">
        <v>92</v>
      </c>
      <c r="J643" t="s">
        <v>42</v>
      </c>
      <c r="K643" t="s">
        <v>42</v>
      </c>
      <c r="L643" t="s">
        <v>42</v>
      </c>
      <c r="M643" s="1" t="s">
        <v>42</v>
      </c>
      <c r="N643" s="39" t="s">
        <v>722</v>
      </c>
      <c r="O643" t="s">
        <v>86</v>
      </c>
      <c r="P643" s="39" t="s">
        <v>1062</v>
      </c>
      <c r="Q643" t="s">
        <v>42</v>
      </c>
      <c r="R643" t="s">
        <v>42</v>
      </c>
      <c r="S643" t="s">
        <v>1061</v>
      </c>
      <c r="T643" t="s">
        <v>42</v>
      </c>
      <c r="U643" t="s">
        <v>42</v>
      </c>
      <c r="V643" t="s">
        <v>42</v>
      </c>
      <c r="W643" s="8" t="s">
        <v>64</v>
      </c>
      <c r="X643" t="s">
        <v>42</v>
      </c>
      <c r="Y643" s="8">
        <v>3</v>
      </c>
      <c r="Z643">
        <v>9</v>
      </c>
      <c r="AA643">
        <v>0</v>
      </c>
      <c r="AB643">
        <v>0</v>
      </c>
      <c r="AC643" s="5">
        <v>2017</v>
      </c>
      <c r="AD643" s="5">
        <v>2017</v>
      </c>
      <c r="AE643" s="6" t="s">
        <v>72</v>
      </c>
      <c r="AF643">
        <v>1</v>
      </c>
      <c r="AG643" t="s">
        <v>64</v>
      </c>
      <c r="AH643" s="1" t="s">
        <v>64</v>
      </c>
    </row>
    <row r="644" spans="1:34" ht="15" customHeight="1">
      <c r="A644" t="s">
        <v>1050</v>
      </c>
      <c r="B644" t="s">
        <v>1051</v>
      </c>
      <c r="C644" s="1">
        <v>9</v>
      </c>
      <c r="D644" t="s">
        <v>38</v>
      </c>
      <c r="E644" t="s">
        <v>38</v>
      </c>
      <c r="F644" t="s">
        <v>39</v>
      </c>
      <c r="G644" t="s">
        <v>40</v>
      </c>
      <c r="H644" t="s">
        <v>1059</v>
      </c>
      <c r="I644" t="s">
        <v>92</v>
      </c>
      <c r="J644" t="s">
        <v>42</v>
      </c>
      <c r="K644" t="s">
        <v>42</v>
      </c>
      <c r="L644" t="s">
        <v>42</v>
      </c>
      <c r="M644" s="1" t="s">
        <v>42</v>
      </c>
      <c r="N644" s="39" t="s">
        <v>722</v>
      </c>
      <c r="O644" t="s">
        <v>86</v>
      </c>
      <c r="P644" s="39" t="s">
        <v>1063</v>
      </c>
      <c r="Q644" t="s">
        <v>42</v>
      </c>
      <c r="R644" t="s">
        <v>42</v>
      </c>
      <c r="S644" t="s">
        <v>1061</v>
      </c>
      <c r="T644" t="s">
        <v>42</v>
      </c>
      <c r="U644" t="s">
        <v>42</v>
      </c>
      <c r="V644" t="s">
        <v>42</v>
      </c>
      <c r="W644" s="8" t="s">
        <v>64</v>
      </c>
      <c r="X644" t="s">
        <v>42</v>
      </c>
      <c r="Y644" s="8">
        <v>3</v>
      </c>
      <c r="Z644">
        <v>9</v>
      </c>
      <c r="AA644">
        <v>0</v>
      </c>
      <c r="AB644">
        <v>0</v>
      </c>
      <c r="AC644" s="5">
        <v>2017</v>
      </c>
      <c r="AD644" s="5">
        <v>2017</v>
      </c>
      <c r="AE644" s="6" t="s">
        <v>72</v>
      </c>
      <c r="AF644">
        <v>1</v>
      </c>
      <c r="AG644" t="s">
        <v>64</v>
      </c>
      <c r="AH644" s="1" t="s">
        <v>64</v>
      </c>
    </row>
    <row r="645" spans="1:34" ht="15" customHeight="1">
      <c r="A645" t="s">
        <v>1050</v>
      </c>
      <c r="B645" t="s">
        <v>1051</v>
      </c>
      <c r="C645" s="1">
        <v>10</v>
      </c>
      <c r="D645" t="s">
        <v>38</v>
      </c>
      <c r="E645" t="s">
        <v>38</v>
      </c>
      <c r="F645" t="s">
        <v>39</v>
      </c>
      <c r="G645" t="s">
        <v>40</v>
      </c>
      <c r="H645" t="s">
        <v>1059</v>
      </c>
      <c r="I645" t="s">
        <v>92</v>
      </c>
      <c r="J645" t="s">
        <v>42</v>
      </c>
      <c r="K645" t="s">
        <v>42</v>
      </c>
      <c r="L645" t="s">
        <v>42</v>
      </c>
      <c r="M645" s="1" t="s">
        <v>42</v>
      </c>
      <c r="N645" s="39" t="s">
        <v>722</v>
      </c>
      <c r="O645" t="s">
        <v>86</v>
      </c>
      <c r="P645" s="39" t="s">
        <v>1064</v>
      </c>
      <c r="Q645" t="s">
        <v>42</v>
      </c>
      <c r="R645" t="s">
        <v>42</v>
      </c>
      <c r="S645" t="s">
        <v>1061</v>
      </c>
      <c r="T645" t="s">
        <v>42</v>
      </c>
      <c r="U645" t="s">
        <v>42</v>
      </c>
      <c r="V645" t="s">
        <v>42</v>
      </c>
      <c r="W645" s="8" t="s">
        <v>64</v>
      </c>
      <c r="X645" t="s">
        <v>42</v>
      </c>
      <c r="Y645" s="8">
        <v>3</v>
      </c>
      <c r="Z645">
        <v>9</v>
      </c>
      <c r="AA645">
        <v>0</v>
      </c>
      <c r="AB645">
        <v>0</v>
      </c>
      <c r="AC645" s="5">
        <v>2017</v>
      </c>
      <c r="AD645" s="5">
        <v>2017</v>
      </c>
      <c r="AE645" s="6" t="s">
        <v>72</v>
      </c>
      <c r="AF645">
        <v>1</v>
      </c>
      <c r="AG645" t="s">
        <v>64</v>
      </c>
      <c r="AH645" s="1" t="s">
        <v>64</v>
      </c>
    </row>
    <row r="646" spans="1:34" ht="15" customHeight="1">
      <c r="A646" t="s">
        <v>1050</v>
      </c>
      <c r="B646" t="s">
        <v>1051</v>
      </c>
      <c r="C646" s="1">
        <v>11</v>
      </c>
      <c r="D646" t="s">
        <v>38</v>
      </c>
      <c r="E646" t="s">
        <v>38</v>
      </c>
      <c r="F646" t="s">
        <v>39</v>
      </c>
      <c r="G646" t="s">
        <v>40</v>
      </c>
      <c r="H646" t="s">
        <v>1059</v>
      </c>
      <c r="I646" t="s">
        <v>92</v>
      </c>
      <c r="J646" t="s">
        <v>42</v>
      </c>
      <c r="K646" t="s">
        <v>42</v>
      </c>
      <c r="L646" t="s">
        <v>42</v>
      </c>
      <c r="M646" s="1" t="s">
        <v>42</v>
      </c>
      <c r="N646" s="39" t="s">
        <v>722</v>
      </c>
      <c r="O646" t="s">
        <v>86</v>
      </c>
      <c r="P646" s="39" t="s">
        <v>1065</v>
      </c>
      <c r="Q646" t="s">
        <v>42</v>
      </c>
      <c r="R646" t="s">
        <v>42</v>
      </c>
      <c r="S646" t="s">
        <v>1055</v>
      </c>
      <c r="T646" t="s">
        <v>42</v>
      </c>
      <c r="U646" t="s">
        <v>42</v>
      </c>
      <c r="V646" t="s">
        <v>42</v>
      </c>
      <c r="W646" s="8" t="s">
        <v>64</v>
      </c>
      <c r="X646" t="s">
        <v>42</v>
      </c>
      <c r="Y646" s="8">
        <v>3</v>
      </c>
      <c r="Z646">
        <v>9</v>
      </c>
      <c r="AA646">
        <v>0</v>
      </c>
      <c r="AB646">
        <v>0</v>
      </c>
      <c r="AC646" s="5">
        <v>2017</v>
      </c>
      <c r="AD646" s="5">
        <v>2017</v>
      </c>
      <c r="AE646" s="6" t="s">
        <v>72</v>
      </c>
      <c r="AF646">
        <v>1</v>
      </c>
      <c r="AG646" t="s">
        <v>64</v>
      </c>
      <c r="AH646" s="1" t="s">
        <v>64</v>
      </c>
    </row>
    <row r="647" spans="1:34" s="9" customFormat="1" ht="15" customHeight="1">
      <c r="A647" s="9" t="s">
        <v>1050</v>
      </c>
      <c r="B647" s="9" t="s">
        <v>1051</v>
      </c>
      <c r="C647" s="10">
        <v>12</v>
      </c>
      <c r="D647" s="9" t="s">
        <v>38</v>
      </c>
      <c r="E647" s="9" t="s">
        <v>38</v>
      </c>
      <c r="F647" s="9" t="s">
        <v>39</v>
      </c>
      <c r="G647" s="9" t="s">
        <v>40</v>
      </c>
      <c r="H647" s="9" t="s">
        <v>91</v>
      </c>
      <c r="I647" s="9" t="s">
        <v>92</v>
      </c>
      <c r="J647" s="9" t="s">
        <v>42</v>
      </c>
      <c r="K647" s="9" t="s">
        <v>42</v>
      </c>
      <c r="L647" s="9" t="s">
        <v>42</v>
      </c>
      <c r="M647" s="10" t="s">
        <v>42</v>
      </c>
      <c r="N647" s="40" t="s">
        <v>722</v>
      </c>
      <c r="O647" s="9" t="s">
        <v>86</v>
      </c>
      <c r="P647" s="40" t="s">
        <v>1064</v>
      </c>
      <c r="Q647" t="s">
        <v>275</v>
      </c>
      <c r="R647" s="9" t="s">
        <v>276</v>
      </c>
      <c r="S647" s="9" t="s">
        <v>1061</v>
      </c>
      <c r="T647" s="9" t="s">
        <v>1066</v>
      </c>
      <c r="U647" s="9" t="s">
        <v>42</v>
      </c>
      <c r="V647" s="9" t="s">
        <v>42</v>
      </c>
      <c r="W647" s="11" t="s">
        <v>64</v>
      </c>
      <c r="X647" s="9" t="s">
        <v>42</v>
      </c>
      <c r="Y647" s="11">
        <v>3</v>
      </c>
      <c r="Z647" s="9">
        <v>9</v>
      </c>
      <c r="AA647" s="9">
        <v>0</v>
      </c>
      <c r="AB647" s="9">
        <v>0</v>
      </c>
      <c r="AC647" s="12">
        <v>2017</v>
      </c>
      <c r="AD647" s="12">
        <v>2017</v>
      </c>
      <c r="AE647" s="13" t="s">
        <v>72</v>
      </c>
      <c r="AF647" s="9">
        <v>1</v>
      </c>
      <c r="AG647" s="9" t="s">
        <v>64</v>
      </c>
      <c r="AH647" s="10" t="s">
        <v>64</v>
      </c>
    </row>
    <row r="648" spans="1:34" ht="15" customHeight="1">
      <c r="A648" t="s">
        <v>1067</v>
      </c>
      <c r="B648" t="s">
        <v>1068</v>
      </c>
      <c r="C648" s="1">
        <v>1</v>
      </c>
      <c r="D648" t="s">
        <v>38</v>
      </c>
      <c r="E648" t="s">
        <v>38</v>
      </c>
      <c r="F648" t="s">
        <v>123</v>
      </c>
      <c r="G648" t="s">
        <v>40</v>
      </c>
      <c r="H648" t="s">
        <v>428</v>
      </c>
      <c r="I648" t="s">
        <v>42</v>
      </c>
      <c r="J648" t="s">
        <v>42</v>
      </c>
      <c r="K648" t="s">
        <v>353</v>
      </c>
      <c r="L648" t="s">
        <v>42</v>
      </c>
      <c r="M648" s="1" t="s">
        <v>42</v>
      </c>
      <c r="N648" s="39" t="s">
        <v>132</v>
      </c>
      <c r="O648" t="s">
        <v>86</v>
      </c>
      <c r="P648" s="39" t="s">
        <v>1069</v>
      </c>
      <c r="Q648" t="s">
        <v>1070</v>
      </c>
      <c r="R648" t="s">
        <v>42</v>
      </c>
      <c r="S648" t="s">
        <v>1071</v>
      </c>
      <c r="T648" t="s">
        <v>1072</v>
      </c>
      <c r="U648" t="s">
        <v>42</v>
      </c>
      <c r="V648" t="s">
        <v>42</v>
      </c>
      <c r="W648" s="8" t="s">
        <v>64</v>
      </c>
      <c r="X648" t="s">
        <v>42</v>
      </c>
      <c r="Y648" s="8">
        <v>1</v>
      </c>
      <c r="Z648">
        <v>0</v>
      </c>
      <c r="AA648">
        <v>0</v>
      </c>
      <c r="AB648">
        <v>0</v>
      </c>
      <c r="AC648" s="5">
        <v>2015</v>
      </c>
      <c r="AD648" s="1">
        <v>2015</v>
      </c>
      <c r="AE648" s="6" t="s">
        <v>72</v>
      </c>
      <c r="AF648">
        <v>1</v>
      </c>
      <c r="AG648" t="s">
        <v>50</v>
      </c>
      <c r="AH648" s="1" t="s">
        <v>64</v>
      </c>
    </row>
    <row r="649" spans="1:34" ht="15" customHeight="1">
      <c r="A649" t="s">
        <v>1067</v>
      </c>
      <c r="B649" t="s">
        <v>1068</v>
      </c>
      <c r="C649" s="1">
        <v>2</v>
      </c>
      <c r="D649" t="s">
        <v>38</v>
      </c>
      <c r="E649" t="s">
        <v>38</v>
      </c>
      <c r="F649" t="s">
        <v>123</v>
      </c>
      <c r="G649" t="s">
        <v>40</v>
      </c>
      <c r="H649" t="s">
        <v>428</v>
      </c>
      <c r="I649" t="s">
        <v>42</v>
      </c>
      <c r="J649" t="s">
        <v>42</v>
      </c>
      <c r="K649" t="s">
        <v>353</v>
      </c>
      <c r="L649" t="s">
        <v>42</v>
      </c>
      <c r="M649" s="1" t="s">
        <v>42</v>
      </c>
      <c r="N649" s="39" t="s">
        <v>132</v>
      </c>
      <c r="O649" t="s">
        <v>86</v>
      </c>
      <c r="P649" s="39" t="s">
        <v>1073</v>
      </c>
      <c r="Q649" t="s">
        <v>1070</v>
      </c>
      <c r="R649" t="s">
        <v>42</v>
      </c>
      <c r="S649" t="s">
        <v>1071</v>
      </c>
      <c r="T649" t="s">
        <v>1072</v>
      </c>
      <c r="U649" t="s">
        <v>42</v>
      </c>
      <c r="V649" t="s">
        <v>42</v>
      </c>
      <c r="W649" s="8" t="s">
        <v>64</v>
      </c>
      <c r="X649" t="s">
        <v>42</v>
      </c>
      <c r="Y649" s="8">
        <v>1</v>
      </c>
      <c r="Z649">
        <v>0</v>
      </c>
      <c r="AA649">
        <v>0</v>
      </c>
      <c r="AB649">
        <v>0</v>
      </c>
      <c r="AC649" s="5">
        <v>2015</v>
      </c>
      <c r="AD649" s="1">
        <v>2015</v>
      </c>
      <c r="AE649" s="6" t="s">
        <v>72</v>
      </c>
      <c r="AF649">
        <v>1</v>
      </c>
      <c r="AG649" t="s">
        <v>50</v>
      </c>
      <c r="AH649" s="1" t="s">
        <v>64</v>
      </c>
    </row>
    <row r="650" spans="1:34" ht="15" customHeight="1">
      <c r="A650" t="s">
        <v>1067</v>
      </c>
      <c r="B650" t="s">
        <v>1068</v>
      </c>
      <c r="C650" s="1">
        <v>3</v>
      </c>
      <c r="D650" t="s">
        <v>38</v>
      </c>
      <c r="E650" t="s">
        <v>38</v>
      </c>
      <c r="F650" t="s">
        <v>123</v>
      </c>
      <c r="G650" t="s">
        <v>40</v>
      </c>
      <c r="H650" t="s">
        <v>428</v>
      </c>
      <c r="I650" t="s">
        <v>42</v>
      </c>
      <c r="J650" t="s">
        <v>42</v>
      </c>
      <c r="K650" t="s">
        <v>353</v>
      </c>
      <c r="L650" t="s">
        <v>42</v>
      </c>
      <c r="M650" s="1" t="s">
        <v>42</v>
      </c>
      <c r="N650" s="39" t="s">
        <v>269</v>
      </c>
      <c r="O650" t="s">
        <v>86</v>
      </c>
      <c r="P650" s="39" t="s">
        <v>1074</v>
      </c>
      <c r="Q650" t="s">
        <v>1070</v>
      </c>
      <c r="R650" t="s">
        <v>42</v>
      </c>
      <c r="S650" t="s">
        <v>1075</v>
      </c>
      <c r="T650" t="s">
        <v>1072</v>
      </c>
      <c r="U650" t="s">
        <v>42</v>
      </c>
      <c r="V650" t="s">
        <v>42</v>
      </c>
      <c r="W650" s="8" t="s">
        <v>64</v>
      </c>
      <c r="X650" t="s">
        <v>42</v>
      </c>
      <c r="Y650" s="8">
        <v>1</v>
      </c>
      <c r="Z650">
        <v>0</v>
      </c>
      <c r="AA650">
        <v>0</v>
      </c>
      <c r="AB650">
        <v>0</v>
      </c>
      <c r="AC650" s="5">
        <v>2015</v>
      </c>
      <c r="AD650" s="1">
        <v>2015</v>
      </c>
      <c r="AE650" s="6" t="s">
        <v>72</v>
      </c>
      <c r="AF650">
        <v>1</v>
      </c>
      <c r="AG650" t="s">
        <v>50</v>
      </c>
      <c r="AH650" s="1" t="s">
        <v>64</v>
      </c>
    </row>
    <row r="651" spans="1:34" ht="15" customHeight="1">
      <c r="A651" t="s">
        <v>1067</v>
      </c>
      <c r="B651" t="s">
        <v>1068</v>
      </c>
      <c r="C651" s="1">
        <v>4</v>
      </c>
      <c r="D651" t="s">
        <v>38</v>
      </c>
      <c r="E651" t="s">
        <v>38</v>
      </c>
      <c r="F651" t="s">
        <v>123</v>
      </c>
      <c r="G651" t="s">
        <v>40</v>
      </c>
      <c r="H651" t="s">
        <v>428</v>
      </c>
      <c r="I651" t="s">
        <v>42</v>
      </c>
      <c r="J651" t="s">
        <v>42</v>
      </c>
      <c r="K651" t="s">
        <v>353</v>
      </c>
      <c r="L651" t="s">
        <v>42</v>
      </c>
      <c r="M651" s="1" t="s">
        <v>42</v>
      </c>
      <c r="N651" s="39" t="s">
        <v>269</v>
      </c>
      <c r="O651" t="s">
        <v>86</v>
      </c>
      <c r="P651" s="39" t="s">
        <v>1076</v>
      </c>
      <c r="Q651" t="s">
        <v>1070</v>
      </c>
      <c r="R651" t="s">
        <v>42</v>
      </c>
      <c r="S651" t="s">
        <v>1075</v>
      </c>
      <c r="T651" t="s">
        <v>1072</v>
      </c>
      <c r="U651" t="s">
        <v>42</v>
      </c>
      <c r="V651" t="s">
        <v>42</v>
      </c>
      <c r="W651" s="8" t="s">
        <v>64</v>
      </c>
      <c r="X651" t="s">
        <v>42</v>
      </c>
      <c r="Y651" s="8">
        <v>1</v>
      </c>
      <c r="Z651">
        <v>0</v>
      </c>
      <c r="AA651">
        <v>0</v>
      </c>
      <c r="AB651">
        <v>0</v>
      </c>
      <c r="AC651" s="5">
        <v>2015</v>
      </c>
      <c r="AD651" s="1">
        <v>2015</v>
      </c>
      <c r="AE651" s="6" t="s">
        <v>72</v>
      </c>
      <c r="AF651">
        <v>1</v>
      </c>
      <c r="AG651" t="s">
        <v>50</v>
      </c>
      <c r="AH651" s="1" t="s">
        <v>64</v>
      </c>
    </row>
    <row r="652" spans="1:34" ht="15" customHeight="1">
      <c r="A652" t="s">
        <v>1067</v>
      </c>
      <c r="B652" t="s">
        <v>1068</v>
      </c>
      <c r="C652" s="1">
        <v>5</v>
      </c>
      <c r="D652" t="s">
        <v>38</v>
      </c>
      <c r="E652" t="s">
        <v>38</v>
      </c>
      <c r="F652" t="s">
        <v>123</v>
      </c>
      <c r="G652" t="s">
        <v>40</v>
      </c>
      <c r="H652" t="s">
        <v>428</v>
      </c>
      <c r="I652" t="s">
        <v>42</v>
      </c>
      <c r="J652" t="s">
        <v>42</v>
      </c>
      <c r="K652" t="s">
        <v>353</v>
      </c>
      <c r="L652" t="s">
        <v>42</v>
      </c>
      <c r="M652" s="1" t="s">
        <v>42</v>
      </c>
      <c r="N652" s="39" t="s">
        <v>269</v>
      </c>
      <c r="O652" t="s">
        <v>86</v>
      </c>
      <c r="P652" s="39" t="s">
        <v>1077</v>
      </c>
      <c r="Q652" t="s">
        <v>1070</v>
      </c>
      <c r="R652" t="s">
        <v>42</v>
      </c>
      <c r="S652" t="s">
        <v>1075</v>
      </c>
      <c r="T652" t="s">
        <v>1072</v>
      </c>
      <c r="U652" t="s">
        <v>42</v>
      </c>
      <c r="V652" t="s">
        <v>42</v>
      </c>
      <c r="W652" s="8" t="s">
        <v>64</v>
      </c>
      <c r="X652" t="s">
        <v>42</v>
      </c>
      <c r="Y652" s="8">
        <v>1</v>
      </c>
      <c r="Z652">
        <v>0</v>
      </c>
      <c r="AA652">
        <v>0</v>
      </c>
      <c r="AB652">
        <v>0</v>
      </c>
      <c r="AC652" s="5">
        <v>2015</v>
      </c>
      <c r="AD652" s="1">
        <v>2015</v>
      </c>
      <c r="AE652" s="6" t="s">
        <v>72</v>
      </c>
      <c r="AF652">
        <v>1</v>
      </c>
      <c r="AG652" t="s">
        <v>50</v>
      </c>
      <c r="AH652" s="1" t="s">
        <v>64</v>
      </c>
    </row>
    <row r="653" spans="1:34" ht="15" customHeight="1">
      <c r="A653" t="s">
        <v>1067</v>
      </c>
      <c r="B653" t="s">
        <v>1068</v>
      </c>
      <c r="C653" s="1">
        <v>6</v>
      </c>
      <c r="D653" t="s">
        <v>38</v>
      </c>
      <c r="E653" t="s">
        <v>38</v>
      </c>
      <c r="F653" t="s">
        <v>123</v>
      </c>
      <c r="G653" t="s">
        <v>40</v>
      </c>
      <c r="H653" t="s">
        <v>428</v>
      </c>
      <c r="I653" t="s">
        <v>42</v>
      </c>
      <c r="J653" t="s">
        <v>42</v>
      </c>
      <c r="K653" t="s">
        <v>353</v>
      </c>
      <c r="L653" t="s">
        <v>42</v>
      </c>
      <c r="M653" s="1" t="s">
        <v>42</v>
      </c>
      <c r="N653" s="39" t="s">
        <v>269</v>
      </c>
      <c r="O653" t="s">
        <v>44</v>
      </c>
      <c r="P653" s="39" t="s">
        <v>1078</v>
      </c>
      <c r="Q653" t="s">
        <v>1070</v>
      </c>
      <c r="R653" t="s">
        <v>42</v>
      </c>
      <c r="S653" t="s">
        <v>1079</v>
      </c>
      <c r="T653" t="s">
        <v>1072</v>
      </c>
      <c r="U653" t="s">
        <v>42</v>
      </c>
      <c r="V653" t="s">
        <v>42</v>
      </c>
      <c r="W653" s="8" t="s">
        <v>50</v>
      </c>
      <c r="X653" t="s">
        <v>1080</v>
      </c>
      <c r="Y653" s="8">
        <v>1</v>
      </c>
      <c r="Z653">
        <v>0</v>
      </c>
      <c r="AA653">
        <v>0</v>
      </c>
      <c r="AB653">
        <v>0</v>
      </c>
      <c r="AC653" s="5">
        <v>2015</v>
      </c>
      <c r="AD653" s="1">
        <v>2015</v>
      </c>
      <c r="AE653" s="6" t="s">
        <v>72</v>
      </c>
      <c r="AF653">
        <v>1</v>
      </c>
      <c r="AG653" t="s">
        <v>50</v>
      </c>
      <c r="AH653" s="1" t="s">
        <v>64</v>
      </c>
    </row>
    <row r="654" spans="1:34" ht="15" customHeight="1">
      <c r="A654" t="s">
        <v>1067</v>
      </c>
      <c r="B654" t="s">
        <v>1068</v>
      </c>
      <c r="C654" s="1">
        <v>7</v>
      </c>
      <c r="D654" t="s">
        <v>38</v>
      </c>
      <c r="E654" t="s">
        <v>38</v>
      </c>
      <c r="F654" t="s">
        <v>123</v>
      </c>
      <c r="G654" t="s">
        <v>40</v>
      </c>
      <c r="H654" t="s">
        <v>428</v>
      </c>
      <c r="I654" t="s">
        <v>42</v>
      </c>
      <c r="J654" t="s">
        <v>42</v>
      </c>
      <c r="K654" t="s">
        <v>353</v>
      </c>
      <c r="L654" t="s">
        <v>42</v>
      </c>
      <c r="M654" s="1" t="s">
        <v>42</v>
      </c>
      <c r="N654" s="39" t="s">
        <v>132</v>
      </c>
      <c r="O654" t="s">
        <v>86</v>
      </c>
      <c r="P654" s="39" t="s">
        <v>132</v>
      </c>
      <c r="Q654" t="s">
        <v>1070</v>
      </c>
      <c r="R654" t="s">
        <v>42</v>
      </c>
      <c r="S654" t="s">
        <v>181</v>
      </c>
      <c r="T654" t="s">
        <v>42</v>
      </c>
      <c r="U654" t="s">
        <v>42</v>
      </c>
      <c r="V654" t="s">
        <v>42</v>
      </c>
      <c r="W654" s="8" t="s">
        <v>64</v>
      </c>
      <c r="X654" t="s">
        <v>42</v>
      </c>
      <c r="Y654" s="8">
        <v>1</v>
      </c>
      <c r="Z654">
        <v>0</v>
      </c>
      <c r="AA654">
        <v>0</v>
      </c>
      <c r="AB654">
        <v>0</v>
      </c>
      <c r="AC654" s="5">
        <v>2015</v>
      </c>
      <c r="AD654" s="1">
        <v>2015</v>
      </c>
      <c r="AE654" s="6" t="s">
        <v>72</v>
      </c>
      <c r="AF654">
        <v>2</v>
      </c>
      <c r="AG654" t="s">
        <v>64</v>
      </c>
      <c r="AH654" s="1" t="s">
        <v>64</v>
      </c>
    </row>
    <row r="655" spans="1:34" ht="15" customHeight="1">
      <c r="A655" t="s">
        <v>1067</v>
      </c>
      <c r="B655" t="s">
        <v>1068</v>
      </c>
      <c r="C655" s="1">
        <v>8</v>
      </c>
      <c r="D655" t="s">
        <v>38</v>
      </c>
      <c r="E655" t="s">
        <v>38</v>
      </c>
      <c r="F655" t="s">
        <v>123</v>
      </c>
      <c r="G655" t="s">
        <v>40</v>
      </c>
      <c r="H655" t="s">
        <v>428</v>
      </c>
      <c r="I655" t="s">
        <v>42</v>
      </c>
      <c r="J655" t="s">
        <v>42</v>
      </c>
      <c r="K655" t="s">
        <v>353</v>
      </c>
      <c r="L655" t="s">
        <v>42</v>
      </c>
      <c r="M655" s="1" t="s">
        <v>42</v>
      </c>
      <c r="N655" s="39" t="s">
        <v>79</v>
      </c>
      <c r="O655" t="s">
        <v>86</v>
      </c>
      <c r="P655" s="39" t="s">
        <v>201</v>
      </c>
      <c r="Q655" t="s">
        <v>1070</v>
      </c>
      <c r="R655" t="s">
        <v>42</v>
      </c>
      <c r="S655" t="s">
        <v>202</v>
      </c>
      <c r="T655" t="s">
        <v>42</v>
      </c>
      <c r="U655" t="s">
        <v>42</v>
      </c>
      <c r="V655" t="s">
        <v>42</v>
      </c>
      <c r="W655" s="8" t="s">
        <v>64</v>
      </c>
      <c r="X655" t="s">
        <v>42</v>
      </c>
      <c r="Y655" s="8">
        <v>1</v>
      </c>
      <c r="Z655">
        <v>0</v>
      </c>
      <c r="AA655">
        <v>0</v>
      </c>
      <c r="AB655">
        <v>0</v>
      </c>
      <c r="AC655" s="5">
        <v>2015</v>
      </c>
      <c r="AD655" s="1">
        <v>2015</v>
      </c>
      <c r="AE655" s="6" t="s">
        <v>72</v>
      </c>
      <c r="AF655">
        <v>2</v>
      </c>
      <c r="AG655" t="s">
        <v>64</v>
      </c>
      <c r="AH655" s="1" t="s">
        <v>64</v>
      </c>
    </row>
    <row r="656" spans="1:34" ht="15" customHeight="1">
      <c r="A656" t="s">
        <v>1067</v>
      </c>
      <c r="B656" t="s">
        <v>1068</v>
      </c>
      <c r="C656" s="1">
        <v>9</v>
      </c>
      <c r="D656" t="s">
        <v>38</v>
      </c>
      <c r="E656" t="s">
        <v>38</v>
      </c>
      <c r="F656" t="s">
        <v>123</v>
      </c>
      <c r="G656" t="s">
        <v>40</v>
      </c>
      <c r="H656" t="s">
        <v>428</v>
      </c>
      <c r="I656" t="s">
        <v>42</v>
      </c>
      <c r="J656" t="s">
        <v>42</v>
      </c>
      <c r="K656" t="s">
        <v>353</v>
      </c>
      <c r="L656" t="s">
        <v>42</v>
      </c>
      <c r="M656" s="1" t="s">
        <v>42</v>
      </c>
      <c r="N656" s="39" t="s">
        <v>269</v>
      </c>
      <c r="O656" t="s">
        <v>86</v>
      </c>
      <c r="P656" s="39" t="s">
        <v>269</v>
      </c>
      <c r="Q656" t="s">
        <v>1070</v>
      </c>
      <c r="R656" t="s">
        <v>42</v>
      </c>
      <c r="S656" t="s">
        <v>1081</v>
      </c>
      <c r="T656" t="s">
        <v>42</v>
      </c>
      <c r="U656" t="s">
        <v>42</v>
      </c>
      <c r="V656" t="s">
        <v>42</v>
      </c>
      <c r="W656" s="8" t="s">
        <v>64</v>
      </c>
      <c r="X656" t="s">
        <v>42</v>
      </c>
      <c r="Y656" s="8">
        <v>1</v>
      </c>
      <c r="Z656">
        <v>0</v>
      </c>
      <c r="AA656">
        <v>0</v>
      </c>
      <c r="AB656">
        <v>0</v>
      </c>
      <c r="AC656" s="5">
        <v>2015</v>
      </c>
      <c r="AD656" s="1">
        <v>2015</v>
      </c>
      <c r="AE656" s="6" t="s">
        <v>72</v>
      </c>
      <c r="AF656">
        <v>2</v>
      </c>
      <c r="AG656" t="s">
        <v>64</v>
      </c>
      <c r="AH656" s="1" t="s">
        <v>64</v>
      </c>
    </row>
    <row r="657" spans="1:34" s="9" customFormat="1" ht="15" customHeight="1">
      <c r="A657" s="9" t="s">
        <v>1067</v>
      </c>
      <c r="B657" s="9" t="s">
        <v>1068</v>
      </c>
      <c r="C657" s="10">
        <v>10</v>
      </c>
      <c r="D657" s="9" t="s">
        <v>38</v>
      </c>
      <c r="E657" s="9" t="s">
        <v>38</v>
      </c>
      <c r="F657" s="9" t="s">
        <v>123</v>
      </c>
      <c r="G657" s="9" t="s">
        <v>40</v>
      </c>
      <c r="H657" s="9" t="s">
        <v>428</v>
      </c>
      <c r="I657" s="9" t="s">
        <v>42</v>
      </c>
      <c r="J657" s="9" t="s">
        <v>42</v>
      </c>
      <c r="K657" s="9" t="s">
        <v>353</v>
      </c>
      <c r="L657" s="9" t="s">
        <v>42</v>
      </c>
      <c r="M657" s="10" t="s">
        <v>42</v>
      </c>
      <c r="N657" s="40" t="s">
        <v>186</v>
      </c>
      <c r="O657" s="9" t="s">
        <v>86</v>
      </c>
      <c r="P657" s="40" t="s">
        <v>186</v>
      </c>
      <c r="Q657" s="9" t="s">
        <v>1070</v>
      </c>
      <c r="R657" s="9" t="s">
        <v>42</v>
      </c>
      <c r="S657" s="9" t="s">
        <v>1075</v>
      </c>
      <c r="T657" s="9" t="s">
        <v>42</v>
      </c>
      <c r="U657" s="9" t="s">
        <v>42</v>
      </c>
      <c r="V657" s="9" t="s">
        <v>42</v>
      </c>
      <c r="W657" s="11" t="s">
        <v>64</v>
      </c>
      <c r="X657" s="9" t="s">
        <v>42</v>
      </c>
      <c r="Y657" s="11">
        <v>1</v>
      </c>
      <c r="Z657" s="9">
        <v>0</v>
      </c>
      <c r="AA657" s="9">
        <v>0</v>
      </c>
      <c r="AB657" s="9">
        <v>0</v>
      </c>
      <c r="AC657" s="12">
        <v>2015</v>
      </c>
      <c r="AD657" s="10">
        <v>2015</v>
      </c>
      <c r="AE657" s="13" t="s">
        <v>72</v>
      </c>
      <c r="AF657" s="9">
        <v>2</v>
      </c>
      <c r="AG657" s="9" t="s">
        <v>64</v>
      </c>
      <c r="AH657" s="10" t="s">
        <v>64</v>
      </c>
    </row>
    <row r="658" spans="1:34" ht="15" customHeight="1">
      <c r="A658" t="s">
        <v>1082</v>
      </c>
      <c r="B658" t="s">
        <v>1083</v>
      </c>
      <c r="C658" s="1">
        <v>1</v>
      </c>
      <c r="D658" t="s">
        <v>38</v>
      </c>
      <c r="E658" t="s">
        <v>38</v>
      </c>
      <c r="F658" t="s">
        <v>39</v>
      </c>
      <c r="G658" t="s">
        <v>40</v>
      </c>
      <c r="H658" t="s">
        <v>948</v>
      </c>
      <c r="I658" t="s">
        <v>42</v>
      </c>
      <c r="J658" t="s">
        <v>42</v>
      </c>
      <c r="K658" t="s">
        <v>42</v>
      </c>
      <c r="L658" t="s">
        <v>42</v>
      </c>
      <c r="M658" s="1" t="s">
        <v>42</v>
      </c>
      <c r="N658" s="39" t="s">
        <v>132</v>
      </c>
      <c r="O658" t="s">
        <v>44</v>
      </c>
      <c r="P658" s="39" t="s">
        <v>1084</v>
      </c>
      <c r="Q658" t="s">
        <v>1085</v>
      </c>
      <c r="R658" t="s">
        <v>1086</v>
      </c>
      <c r="S658" t="s">
        <v>88</v>
      </c>
      <c r="T658" t="s">
        <v>1087</v>
      </c>
      <c r="U658" t="s">
        <v>42</v>
      </c>
      <c r="V658" t="s">
        <v>42</v>
      </c>
      <c r="W658" s="8" t="s">
        <v>50</v>
      </c>
      <c r="X658" t="s">
        <v>658</v>
      </c>
      <c r="Y658" s="8">
        <v>1</v>
      </c>
      <c r="Z658">
        <v>0</v>
      </c>
      <c r="AA658">
        <v>0</v>
      </c>
      <c r="AB658">
        <v>0</v>
      </c>
      <c r="AC658" s="5">
        <v>1997</v>
      </c>
      <c r="AD658" s="1">
        <v>2008</v>
      </c>
      <c r="AE658" s="6">
        <f>AD658-AC658</f>
        <v>11</v>
      </c>
      <c r="AF658">
        <v>3</v>
      </c>
      <c r="AG658" t="s">
        <v>50</v>
      </c>
      <c r="AH658" s="1" t="s">
        <v>64</v>
      </c>
    </row>
    <row r="659" spans="1:34" ht="15" customHeight="1">
      <c r="A659" t="s">
        <v>1082</v>
      </c>
      <c r="B659" t="s">
        <v>1083</v>
      </c>
      <c r="C659" s="1">
        <v>2</v>
      </c>
      <c r="D659" t="s">
        <v>38</v>
      </c>
      <c r="E659" t="s">
        <v>38</v>
      </c>
      <c r="F659" t="s">
        <v>39</v>
      </c>
      <c r="G659" t="s">
        <v>40</v>
      </c>
      <c r="H659" t="s">
        <v>948</v>
      </c>
      <c r="I659" t="s">
        <v>42</v>
      </c>
      <c r="J659" t="s">
        <v>42</v>
      </c>
      <c r="K659" t="s">
        <v>42</v>
      </c>
      <c r="L659" t="s">
        <v>42</v>
      </c>
      <c r="M659" s="1" t="s">
        <v>42</v>
      </c>
      <c r="N659" s="39" t="s">
        <v>132</v>
      </c>
      <c r="O659" t="s">
        <v>44</v>
      </c>
      <c r="P659" s="39" t="s">
        <v>1088</v>
      </c>
      <c r="Q659" t="s">
        <v>1085</v>
      </c>
      <c r="R659" t="s">
        <v>1086</v>
      </c>
      <c r="S659" t="s">
        <v>88</v>
      </c>
      <c r="T659" t="s">
        <v>42</v>
      </c>
      <c r="U659" t="s">
        <v>42</v>
      </c>
      <c r="V659" t="s">
        <v>42</v>
      </c>
      <c r="W659" s="8" t="s">
        <v>50</v>
      </c>
      <c r="X659" t="s">
        <v>658</v>
      </c>
      <c r="Y659" s="8">
        <v>1</v>
      </c>
      <c r="Z659">
        <v>0</v>
      </c>
      <c r="AA659">
        <v>0</v>
      </c>
      <c r="AB659">
        <v>0</v>
      </c>
      <c r="AC659" s="5">
        <v>1997</v>
      </c>
      <c r="AD659" s="1">
        <v>2008</v>
      </c>
      <c r="AE659" s="6">
        <f>AD659-AC659</f>
        <v>11</v>
      </c>
      <c r="AF659">
        <v>3</v>
      </c>
      <c r="AG659" t="s">
        <v>50</v>
      </c>
      <c r="AH659" s="1" t="s">
        <v>64</v>
      </c>
    </row>
    <row r="660" spans="1:34" ht="15" customHeight="1">
      <c r="A660" t="s">
        <v>1082</v>
      </c>
      <c r="B660" t="s">
        <v>1083</v>
      </c>
      <c r="C660" s="1">
        <v>3</v>
      </c>
      <c r="D660" t="s">
        <v>38</v>
      </c>
      <c r="E660" t="s">
        <v>38</v>
      </c>
      <c r="F660" t="s">
        <v>39</v>
      </c>
      <c r="G660" t="s">
        <v>40</v>
      </c>
      <c r="H660" t="s">
        <v>948</v>
      </c>
      <c r="I660" t="s">
        <v>42</v>
      </c>
      <c r="J660" t="s">
        <v>42</v>
      </c>
      <c r="K660" t="s">
        <v>42</v>
      </c>
      <c r="L660" t="s">
        <v>42</v>
      </c>
      <c r="M660" s="1" t="s">
        <v>42</v>
      </c>
      <c r="N660" s="39" t="s">
        <v>132</v>
      </c>
      <c r="O660" t="s">
        <v>44</v>
      </c>
      <c r="P660" s="39" t="s">
        <v>1089</v>
      </c>
      <c r="Q660" t="s">
        <v>1085</v>
      </c>
      <c r="R660" t="s">
        <v>1086</v>
      </c>
      <c r="S660" t="s">
        <v>88</v>
      </c>
      <c r="T660" t="s">
        <v>42</v>
      </c>
      <c r="U660" t="s">
        <v>42</v>
      </c>
      <c r="V660" t="s">
        <v>42</v>
      </c>
      <c r="W660" s="8" t="s">
        <v>50</v>
      </c>
      <c r="X660" t="s">
        <v>658</v>
      </c>
      <c r="Y660" s="8">
        <v>1</v>
      </c>
      <c r="Z660">
        <v>0</v>
      </c>
      <c r="AA660">
        <v>0</v>
      </c>
      <c r="AB660">
        <v>0</v>
      </c>
      <c r="AC660" s="5">
        <v>1997</v>
      </c>
      <c r="AD660" s="1">
        <v>2008</v>
      </c>
      <c r="AE660" s="6">
        <f>AD660-AC660</f>
        <v>11</v>
      </c>
      <c r="AF660">
        <v>3</v>
      </c>
      <c r="AG660" t="s">
        <v>50</v>
      </c>
      <c r="AH660" s="1" t="s">
        <v>64</v>
      </c>
    </row>
    <row r="661" spans="1:34" s="9" customFormat="1" ht="15" customHeight="1">
      <c r="A661" s="9" t="s">
        <v>1082</v>
      </c>
      <c r="B661" s="9" t="s">
        <v>1083</v>
      </c>
      <c r="C661" s="10">
        <v>4</v>
      </c>
      <c r="D661" s="9" t="s">
        <v>38</v>
      </c>
      <c r="E661" s="9" t="s">
        <v>38</v>
      </c>
      <c r="F661" s="9" t="s">
        <v>39</v>
      </c>
      <c r="G661" s="9" t="s">
        <v>40</v>
      </c>
      <c r="H661" s="9" t="s">
        <v>948</v>
      </c>
      <c r="I661" s="9" t="s">
        <v>42</v>
      </c>
      <c r="J661" s="9" t="s">
        <v>42</v>
      </c>
      <c r="K661" s="9" t="s">
        <v>42</v>
      </c>
      <c r="L661" s="9" t="s">
        <v>42</v>
      </c>
      <c r="M661" s="10" t="s">
        <v>42</v>
      </c>
      <c r="N661" s="39" t="s">
        <v>139</v>
      </c>
      <c r="O661" s="9" t="s">
        <v>44</v>
      </c>
      <c r="P661" s="40" t="s">
        <v>1090</v>
      </c>
      <c r="Q661" s="9" t="s">
        <v>1085</v>
      </c>
      <c r="R661" s="9" t="s">
        <v>1086</v>
      </c>
      <c r="S661" s="9" t="s">
        <v>88</v>
      </c>
      <c r="T661" s="9" t="s">
        <v>42</v>
      </c>
      <c r="U661" s="9" t="s">
        <v>42</v>
      </c>
      <c r="V661" s="9" t="s">
        <v>42</v>
      </c>
      <c r="W661" s="11" t="s">
        <v>50</v>
      </c>
      <c r="X661" s="9" t="s">
        <v>658</v>
      </c>
      <c r="Y661" s="11">
        <v>1</v>
      </c>
      <c r="Z661" s="9">
        <v>0</v>
      </c>
      <c r="AA661" s="9">
        <v>0</v>
      </c>
      <c r="AB661" s="9">
        <v>0</v>
      </c>
      <c r="AC661" s="12">
        <v>1997</v>
      </c>
      <c r="AD661" s="10">
        <v>2008</v>
      </c>
      <c r="AE661" s="13">
        <f>AD661-AC661</f>
        <v>11</v>
      </c>
      <c r="AF661" s="9">
        <v>3</v>
      </c>
      <c r="AG661" s="9" t="s">
        <v>50</v>
      </c>
      <c r="AH661" s="10" t="s">
        <v>64</v>
      </c>
    </row>
    <row r="662" spans="1:34" ht="15" customHeight="1">
      <c r="A662" t="s">
        <v>1091</v>
      </c>
      <c r="B662" t="s">
        <v>1092</v>
      </c>
      <c r="C662" s="1">
        <v>1</v>
      </c>
      <c r="D662" t="s">
        <v>38</v>
      </c>
      <c r="E662" t="s">
        <v>38</v>
      </c>
      <c r="F662" t="s">
        <v>39</v>
      </c>
      <c r="G662" t="s">
        <v>40</v>
      </c>
      <c r="H662" t="s">
        <v>41</v>
      </c>
      <c r="I662" t="s">
        <v>42</v>
      </c>
      <c r="J662" t="s">
        <v>42</v>
      </c>
      <c r="K662" t="s">
        <v>42</v>
      </c>
      <c r="L662" t="s">
        <v>42</v>
      </c>
      <c r="M662" s="1" t="s">
        <v>42</v>
      </c>
      <c r="N662" s="39" t="s">
        <v>132</v>
      </c>
      <c r="O662" t="s">
        <v>44</v>
      </c>
      <c r="P662" s="39" t="s">
        <v>337</v>
      </c>
      <c r="Q662" t="s">
        <v>328</v>
      </c>
      <c r="R662" s="2" t="s">
        <v>1093</v>
      </c>
      <c r="S662" t="s">
        <v>88</v>
      </c>
      <c r="T662" t="s">
        <v>42</v>
      </c>
      <c r="U662" t="s">
        <v>42</v>
      </c>
      <c r="V662" t="s">
        <v>42</v>
      </c>
      <c r="W662" s="8" t="s">
        <v>50</v>
      </c>
      <c r="X662" t="s">
        <v>268</v>
      </c>
      <c r="Y662" s="8">
        <v>1</v>
      </c>
      <c r="Z662">
        <v>6</v>
      </c>
      <c r="AA662">
        <v>0</v>
      </c>
      <c r="AB662">
        <v>0</v>
      </c>
      <c r="AC662" s="5">
        <v>2004</v>
      </c>
      <c r="AD662" s="1">
        <v>2014</v>
      </c>
      <c r="AE662" s="6">
        <v>10</v>
      </c>
      <c r="AF662">
        <v>3</v>
      </c>
      <c r="AG662" t="s">
        <v>64</v>
      </c>
      <c r="AH662" s="1" t="s">
        <v>64</v>
      </c>
    </row>
    <row r="663" spans="1:34" ht="15" customHeight="1">
      <c r="A663" t="s">
        <v>1091</v>
      </c>
      <c r="B663" t="s">
        <v>1092</v>
      </c>
      <c r="C663" s="1">
        <v>2</v>
      </c>
      <c r="D663" t="s">
        <v>38</v>
      </c>
      <c r="E663" t="s">
        <v>38</v>
      </c>
      <c r="F663" t="s">
        <v>39</v>
      </c>
      <c r="G663" t="s">
        <v>40</v>
      </c>
      <c r="H663" t="s">
        <v>41</v>
      </c>
      <c r="I663" t="s">
        <v>42</v>
      </c>
      <c r="J663" t="s">
        <v>42</v>
      </c>
      <c r="K663" t="s">
        <v>42</v>
      </c>
      <c r="L663" t="s">
        <v>42</v>
      </c>
      <c r="M663" s="1" t="s">
        <v>42</v>
      </c>
      <c r="N663" s="39" t="s">
        <v>60</v>
      </c>
      <c r="O663" t="s">
        <v>44</v>
      </c>
      <c r="P663" s="39" t="s">
        <v>1094</v>
      </c>
      <c r="Q663" t="s">
        <v>328</v>
      </c>
      <c r="R663" s="2" t="s">
        <v>1093</v>
      </c>
      <c r="S663" t="s">
        <v>1095</v>
      </c>
      <c r="T663" t="s">
        <v>42</v>
      </c>
      <c r="U663" t="s">
        <v>42</v>
      </c>
      <c r="V663" t="s">
        <v>42</v>
      </c>
      <c r="W663" s="8" t="s">
        <v>50</v>
      </c>
      <c r="X663" t="s">
        <v>1096</v>
      </c>
      <c r="Y663" s="8">
        <v>1</v>
      </c>
      <c r="Z663">
        <v>7</v>
      </c>
      <c r="AA663">
        <v>0</v>
      </c>
      <c r="AB663">
        <v>0</v>
      </c>
      <c r="AC663" s="5">
        <v>2004</v>
      </c>
      <c r="AD663" s="1">
        <v>2014</v>
      </c>
      <c r="AE663" s="6">
        <v>10</v>
      </c>
      <c r="AF663">
        <v>6</v>
      </c>
      <c r="AG663" t="s">
        <v>64</v>
      </c>
      <c r="AH663" s="1" t="s">
        <v>64</v>
      </c>
    </row>
    <row r="664" spans="1:34" ht="15" customHeight="1">
      <c r="A664" t="s">
        <v>1091</v>
      </c>
      <c r="B664" t="s">
        <v>1092</v>
      </c>
      <c r="C664" s="1">
        <v>3</v>
      </c>
      <c r="D664" t="s">
        <v>38</v>
      </c>
      <c r="E664" t="s">
        <v>38</v>
      </c>
      <c r="F664" t="s">
        <v>39</v>
      </c>
      <c r="G664" t="s">
        <v>40</v>
      </c>
      <c r="H664" t="s">
        <v>91</v>
      </c>
      <c r="I664" t="s">
        <v>42</v>
      </c>
      <c r="J664" t="s">
        <v>42</v>
      </c>
      <c r="K664" t="s">
        <v>42</v>
      </c>
      <c r="L664" t="s">
        <v>42</v>
      </c>
      <c r="M664" s="1" t="s">
        <v>42</v>
      </c>
      <c r="N664" s="39" t="s">
        <v>132</v>
      </c>
      <c r="O664" t="s">
        <v>44</v>
      </c>
      <c r="P664" s="39" t="s">
        <v>717</v>
      </c>
      <c r="Q664" t="s">
        <v>328</v>
      </c>
      <c r="R664" s="2" t="s">
        <v>1093</v>
      </c>
      <c r="S664" t="s">
        <v>1097</v>
      </c>
      <c r="T664" t="s">
        <v>42</v>
      </c>
      <c r="U664" t="s">
        <v>42</v>
      </c>
      <c r="V664" t="s">
        <v>42</v>
      </c>
      <c r="W664" s="8" t="s">
        <v>50</v>
      </c>
      <c r="X664" t="s">
        <v>1096</v>
      </c>
      <c r="Y664" s="8">
        <v>1</v>
      </c>
      <c r="Z664">
        <v>7</v>
      </c>
      <c r="AA664">
        <v>0</v>
      </c>
      <c r="AB664">
        <v>0</v>
      </c>
      <c r="AC664" s="5">
        <v>2004</v>
      </c>
      <c r="AD664" s="1">
        <v>2014</v>
      </c>
      <c r="AE664" s="6">
        <v>10</v>
      </c>
      <c r="AF664">
        <v>7</v>
      </c>
      <c r="AG664" t="s">
        <v>64</v>
      </c>
      <c r="AH664" s="1" t="s">
        <v>64</v>
      </c>
    </row>
    <row r="665" spans="1:34" s="9" customFormat="1" ht="15" customHeight="1">
      <c r="A665" s="9" t="s">
        <v>1091</v>
      </c>
      <c r="B665" s="9" t="s">
        <v>1092</v>
      </c>
      <c r="C665" s="10">
        <v>4</v>
      </c>
      <c r="D665" s="9" t="s">
        <v>38</v>
      </c>
      <c r="E665" t="s">
        <v>38</v>
      </c>
      <c r="F665" s="9" t="s">
        <v>39</v>
      </c>
      <c r="G665" s="9" t="s">
        <v>40</v>
      </c>
      <c r="H665" s="9" t="s">
        <v>41</v>
      </c>
      <c r="I665" s="9" t="s">
        <v>42</v>
      </c>
      <c r="J665" s="9" t="s">
        <v>42</v>
      </c>
      <c r="K665" s="9" t="s">
        <v>42</v>
      </c>
      <c r="L665" s="9" t="s">
        <v>42</v>
      </c>
      <c r="M665" s="10" t="s">
        <v>42</v>
      </c>
      <c r="N665" s="40" t="s">
        <v>60</v>
      </c>
      <c r="O665" s="9" t="s">
        <v>44</v>
      </c>
      <c r="P665" s="40" t="s">
        <v>369</v>
      </c>
      <c r="Q665" s="9" t="s">
        <v>328</v>
      </c>
      <c r="R665" s="18" t="s">
        <v>1093</v>
      </c>
      <c r="S665" s="9" t="s">
        <v>69</v>
      </c>
      <c r="T665" s="9" t="s">
        <v>42</v>
      </c>
      <c r="U665" s="9" t="s">
        <v>42</v>
      </c>
      <c r="V665" s="9" t="s">
        <v>42</v>
      </c>
      <c r="W665" s="11" t="s">
        <v>50</v>
      </c>
      <c r="X665" s="9" t="s">
        <v>1098</v>
      </c>
      <c r="Y665" s="11">
        <v>1</v>
      </c>
      <c r="Z665" s="9">
        <v>4</v>
      </c>
      <c r="AA665" s="9">
        <v>0</v>
      </c>
      <c r="AB665" s="9">
        <v>0</v>
      </c>
      <c r="AC665" s="12">
        <v>2004</v>
      </c>
      <c r="AD665" s="10">
        <v>2014</v>
      </c>
      <c r="AE665" s="13">
        <v>10</v>
      </c>
      <c r="AF665" s="9">
        <v>8</v>
      </c>
      <c r="AG665" s="9" t="s">
        <v>64</v>
      </c>
      <c r="AH665" s="10" t="s">
        <v>64</v>
      </c>
    </row>
    <row r="666" spans="1:34" ht="15" customHeight="1">
      <c r="A666" t="s">
        <v>1099</v>
      </c>
      <c r="B666" t="s">
        <v>1100</v>
      </c>
      <c r="C666" s="24">
        <v>1</v>
      </c>
      <c r="D666" t="s">
        <v>502</v>
      </c>
      <c r="E666" t="s">
        <v>426</v>
      </c>
      <c r="F666" t="s">
        <v>39</v>
      </c>
      <c r="G666" t="s">
        <v>40</v>
      </c>
      <c r="H666" t="s">
        <v>455</v>
      </c>
      <c r="I666" t="s">
        <v>427</v>
      </c>
      <c r="J666" t="s">
        <v>467</v>
      </c>
      <c r="K666" t="s">
        <v>42</v>
      </c>
      <c r="L666" t="s">
        <v>42</v>
      </c>
      <c r="M666" s="1" t="s">
        <v>42</v>
      </c>
      <c r="N666" s="39" t="s">
        <v>430</v>
      </c>
      <c r="O666" t="s">
        <v>44</v>
      </c>
      <c r="P666" s="39" t="s">
        <v>431</v>
      </c>
      <c r="Q666" t="s">
        <v>42</v>
      </c>
      <c r="R666" t="s">
        <v>42</v>
      </c>
      <c r="S666" t="s">
        <v>42</v>
      </c>
      <c r="T666" t="s">
        <v>42</v>
      </c>
      <c r="U666" t="s">
        <v>42</v>
      </c>
      <c r="V666" t="s">
        <v>42</v>
      </c>
      <c r="W666" s="8" t="s">
        <v>50</v>
      </c>
      <c r="X666" t="s">
        <v>1098</v>
      </c>
      <c r="Y666" s="8">
        <v>0</v>
      </c>
      <c r="Z666">
        <v>0</v>
      </c>
      <c r="AA666">
        <v>8</v>
      </c>
      <c r="AB666">
        <v>0</v>
      </c>
      <c r="AC666" s="5">
        <v>2016</v>
      </c>
      <c r="AD666" s="1">
        <v>2016</v>
      </c>
      <c r="AE666" s="6" t="s">
        <v>72</v>
      </c>
      <c r="AF666">
        <v>1</v>
      </c>
      <c r="AG666" t="s">
        <v>64</v>
      </c>
      <c r="AH666" s="1" t="s">
        <v>64</v>
      </c>
    </row>
    <row r="667" spans="1:34" ht="15" customHeight="1">
      <c r="A667" t="s">
        <v>1099</v>
      </c>
      <c r="B667" t="s">
        <v>1100</v>
      </c>
      <c r="C667" s="24">
        <v>2</v>
      </c>
      <c r="D667" t="s">
        <v>502</v>
      </c>
      <c r="E667" t="s">
        <v>426</v>
      </c>
      <c r="F667" t="s">
        <v>39</v>
      </c>
      <c r="G667" t="s">
        <v>40</v>
      </c>
      <c r="H667" t="s">
        <v>455</v>
      </c>
      <c r="I667" t="s">
        <v>427</v>
      </c>
      <c r="J667" t="s">
        <v>467</v>
      </c>
      <c r="K667" t="s">
        <v>42</v>
      </c>
      <c r="L667" t="s">
        <v>42</v>
      </c>
      <c r="M667" s="1" t="s">
        <v>42</v>
      </c>
      <c r="N667" s="39" t="s">
        <v>430</v>
      </c>
      <c r="O667" t="s">
        <v>44</v>
      </c>
      <c r="P667" s="39" t="s">
        <v>434</v>
      </c>
      <c r="Q667" t="s">
        <v>42</v>
      </c>
      <c r="R667" t="s">
        <v>42</v>
      </c>
      <c r="S667" t="s">
        <v>42</v>
      </c>
      <c r="T667" t="s">
        <v>42</v>
      </c>
      <c r="U667" t="s">
        <v>42</v>
      </c>
      <c r="V667" t="s">
        <v>42</v>
      </c>
      <c r="W667" s="8" t="s">
        <v>50</v>
      </c>
      <c r="X667" t="s">
        <v>1098</v>
      </c>
      <c r="Y667" s="8">
        <v>0</v>
      </c>
      <c r="Z667">
        <v>0</v>
      </c>
      <c r="AA667">
        <v>8</v>
      </c>
      <c r="AB667">
        <v>0</v>
      </c>
      <c r="AC667" s="5">
        <v>2016</v>
      </c>
      <c r="AD667" s="1">
        <v>2016</v>
      </c>
      <c r="AE667" s="6" t="s">
        <v>72</v>
      </c>
      <c r="AF667">
        <v>1</v>
      </c>
      <c r="AG667" t="s">
        <v>64</v>
      </c>
      <c r="AH667" s="1" t="s">
        <v>64</v>
      </c>
    </row>
    <row r="668" spans="1:34" ht="15" customHeight="1">
      <c r="A668" t="s">
        <v>1099</v>
      </c>
      <c r="B668" t="s">
        <v>1100</v>
      </c>
      <c r="C668" s="24">
        <v>3</v>
      </c>
      <c r="D668" t="s">
        <v>502</v>
      </c>
      <c r="E668" t="s">
        <v>426</v>
      </c>
      <c r="F668" t="s">
        <v>39</v>
      </c>
      <c r="G668" t="s">
        <v>40</v>
      </c>
      <c r="H668" t="s">
        <v>455</v>
      </c>
      <c r="I668" t="s">
        <v>427</v>
      </c>
      <c r="J668" t="s">
        <v>467</v>
      </c>
      <c r="K668" t="s">
        <v>42</v>
      </c>
      <c r="L668" t="s">
        <v>42</v>
      </c>
      <c r="M668" s="1" t="s">
        <v>42</v>
      </c>
      <c r="N668" s="39" t="s">
        <v>430</v>
      </c>
      <c r="O668" t="s">
        <v>44</v>
      </c>
      <c r="P668" s="39" t="s">
        <v>473</v>
      </c>
      <c r="Q668" t="s">
        <v>42</v>
      </c>
      <c r="R668" t="s">
        <v>42</v>
      </c>
      <c r="S668" t="s">
        <v>42</v>
      </c>
      <c r="T668" t="s">
        <v>42</v>
      </c>
      <c r="U668" t="s">
        <v>42</v>
      </c>
      <c r="V668" t="s">
        <v>42</v>
      </c>
      <c r="W668" s="8" t="s">
        <v>50</v>
      </c>
      <c r="X668" t="s">
        <v>1098</v>
      </c>
      <c r="Y668" s="8">
        <v>0</v>
      </c>
      <c r="Z668">
        <v>0</v>
      </c>
      <c r="AA668">
        <v>8</v>
      </c>
      <c r="AB668">
        <v>0</v>
      </c>
      <c r="AC668" s="5">
        <v>2016</v>
      </c>
      <c r="AD668" s="1">
        <v>2016</v>
      </c>
      <c r="AE668" s="6" t="s">
        <v>72</v>
      </c>
      <c r="AF668">
        <v>1</v>
      </c>
      <c r="AG668" t="s">
        <v>64</v>
      </c>
      <c r="AH668" s="1" t="s">
        <v>64</v>
      </c>
    </row>
    <row r="669" spans="1:34" ht="15" customHeight="1">
      <c r="A669" t="s">
        <v>1099</v>
      </c>
      <c r="B669" t="s">
        <v>1100</v>
      </c>
      <c r="C669" s="24">
        <v>4</v>
      </c>
      <c r="D669" t="s">
        <v>502</v>
      </c>
      <c r="E669" t="s">
        <v>397</v>
      </c>
      <c r="F669" t="s">
        <v>116</v>
      </c>
      <c r="G669" t="s">
        <v>40</v>
      </c>
      <c r="H669" t="s">
        <v>42</v>
      </c>
      <c r="I669" t="s">
        <v>42</v>
      </c>
      <c r="J669" t="s">
        <v>42</v>
      </c>
      <c r="K669" t="s">
        <v>42</v>
      </c>
      <c r="L669" t="s">
        <v>1101</v>
      </c>
      <c r="M669" s="1" t="s">
        <v>42</v>
      </c>
      <c r="N669" s="39" t="s">
        <v>506</v>
      </c>
      <c r="O669" t="s">
        <v>44</v>
      </c>
      <c r="P669" s="39" t="s">
        <v>506</v>
      </c>
      <c r="Q669" t="s">
        <v>42</v>
      </c>
      <c r="R669" t="s">
        <v>42</v>
      </c>
      <c r="S669" t="s">
        <v>1102</v>
      </c>
      <c r="T669" t="s">
        <v>42</v>
      </c>
      <c r="U669" t="s">
        <v>42</v>
      </c>
      <c r="V669" t="s">
        <v>42</v>
      </c>
      <c r="W669" s="8" t="s">
        <v>50</v>
      </c>
      <c r="X669" t="s">
        <v>1098</v>
      </c>
      <c r="Y669" s="8">
        <v>0</v>
      </c>
      <c r="Z669">
        <v>0</v>
      </c>
      <c r="AA669">
        <v>8</v>
      </c>
      <c r="AB669">
        <v>0</v>
      </c>
      <c r="AC669" s="5">
        <v>2016</v>
      </c>
      <c r="AD669" s="1">
        <v>2016</v>
      </c>
      <c r="AE669" s="6" t="s">
        <v>72</v>
      </c>
      <c r="AF669">
        <v>1</v>
      </c>
      <c r="AG669" t="s">
        <v>64</v>
      </c>
      <c r="AH669" s="1" t="s">
        <v>64</v>
      </c>
    </row>
    <row r="670" spans="1:34" ht="15" customHeight="1">
      <c r="A670" t="s">
        <v>1099</v>
      </c>
      <c r="B670" t="s">
        <v>1100</v>
      </c>
      <c r="C670" s="24">
        <v>5</v>
      </c>
      <c r="D670" t="s">
        <v>502</v>
      </c>
      <c r="E670" t="s">
        <v>397</v>
      </c>
      <c r="F670" t="s">
        <v>116</v>
      </c>
      <c r="G670" t="s">
        <v>40</v>
      </c>
      <c r="H670" t="s">
        <v>42</v>
      </c>
      <c r="I670" t="s">
        <v>42</v>
      </c>
      <c r="J670" t="s">
        <v>42</v>
      </c>
      <c r="K670" t="s">
        <v>1103</v>
      </c>
      <c r="L670" t="s">
        <v>42</v>
      </c>
      <c r="M670" s="1" t="s">
        <v>42</v>
      </c>
      <c r="N670" s="39" t="s">
        <v>402</v>
      </c>
      <c r="O670" t="s">
        <v>44</v>
      </c>
      <c r="P670" s="39" t="s">
        <v>402</v>
      </c>
      <c r="Q670" t="s">
        <v>42</v>
      </c>
      <c r="R670" t="s">
        <v>42</v>
      </c>
      <c r="S670" t="s">
        <v>1104</v>
      </c>
      <c r="T670" t="s">
        <v>42</v>
      </c>
      <c r="U670" t="s">
        <v>42</v>
      </c>
      <c r="V670" t="s">
        <v>42</v>
      </c>
      <c r="W670" s="8" t="s">
        <v>50</v>
      </c>
      <c r="X670" t="s">
        <v>1098</v>
      </c>
      <c r="Y670" s="8">
        <v>0</v>
      </c>
      <c r="Z670">
        <v>0</v>
      </c>
      <c r="AA670">
        <v>8</v>
      </c>
      <c r="AB670">
        <v>0</v>
      </c>
      <c r="AC670" s="5">
        <v>2016</v>
      </c>
      <c r="AD670" s="1">
        <v>2016</v>
      </c>
      <c r="AE670" s="6" t="s">
        <v>72</v>
      </c>
      <c r="AF670">
        <v>1</v>
      </c>
      <c r="AG670" t="s">
        <v>64</v>
      </c>
      <c r="AH670" s="1" t="s">
        <v>64</v>
      </c>
    </row>
    <row r="671" spans="1:34" s="9" customFormat="1" ht="15" customHeight="1">
      <c r="A671" s="9" t="s">
        <v>1099</v>
      </c>
      <c r="B671" s="9" t="s">
        <v>1100</v>
      </c>
      <c r="C671" s="25">
        <v>6</v>
      </c>
      <c r="D671" s="9" t="s">
        <v>502</v>
      </c>
      <c r="E671" s="9" t="s">
        <v>426</v>
      </c>
      <c r="F671" s="9" t="s">
        <v>39</v>
      </c>
      <c r="G671" s="9" t="s">
        <v>40</v>
      </c>
      <c r="H671" s="9" t="s">
        <v>455</v>
      </c>
      <c r="I671" s="9" t="s">
        <v>427</v>
      </c>
      <c r="J671" s="9" t="s">
        <v>467</v>
      </c>
      <c r="K671" s="9" t="s">
        <v>42</v>
      </c>
      <c r="L671" s="9" t="s">
        <v>42</v>
      </c>
      <c r="M671" s="10" t="s">
        <v>42</v>
      </c>
      <c r="N671" s="40" t="s">
        <v>430</v>
      </c>
      <c r="O671" s="9" t="s">
        <v>44</v>
      </c>
      <c r="P671" s="40" t="s">
        <v>456</v>
      </c>
      <c r="Q671" s="9" t="s">
        <v>42</v>
      </c>
      <c r="R671" s="9" t="s">
        <v>42</v>
      </c>
      <c r="S671" s="9" t="s">
        <v>42</v>
      </c>
      <c r="T671" s="9" t="s">
        <v>42</v>
      </c>
      <c r="U671" s="9" t="s">
        <v>42</v>
      </c>
      <c r="V671" s="9" t="s">
        <v>42</v>
      </c>
      <c r="W671" s="11" t="s">
        <v>50</v>
      </c>
      <c r="X671" s="9" t="s">
        <v>1098</v>
      </c>
      <c r="Y671" s="11">
        <v>0</v>
      </c>
      <c r="Z671" s="9">
        <v>0</v>
      </c>
      <c r="AA671" s="9">
        <v>8</v>
      </c>
      <c r="AB671" s="9">
        <v>0</v>
      </c>
      <c r="AC671" s="12">
        <v>2016</v>
      </c>
      <c r="AD671" s="10">
        <v>2016</v>
      </c>
      <c r="AE671" s="13" t="s">
        <v>72</v>
      </c>
      <c r="AF671" s="9">
        <v>1</v>
      </c>
      <c r="AG671" s="9" t="s">
        <v>64</v>
      </c>
      <c r="AH671" s="10" t="s">
        <v>64</v>
      </c>
    </row>
    <row r="672" spans="1:34" ht="15" customHeight="1">
      <c r="A672" t="s">
        <v>1105</v>
      </c>
      <c r="B672" t="s">
        <v>1106</v>
      </c>
      <c r="C672" s="24">
        <v>1</v>
      </c>
      <c r="D672" t="s">
        <v>38</v>
      </c>
      <c r="E672" t="s">
        <v>38</v>
      </c>
      <c r="F672" t="s">
        <v>39</v>
      </c>
      <c r="G672" t="s">
        <v>40</v>
      </c>
      <c r="H672" t="s">
        <v>41</v>
      </c>
      <c r="I672" t="s">
        <v>42</v>
      </c>
      <c r="J672" t="s">
        <v>42</v>
      </c>
      <c r="K672" t="s">
        <v>42</v>
      </c>
      <c r="L672" t="s">
        <v>42</v>
      </c>
      <c r="M672" t="s">
        <v>42</v>
      </c>
      <c r="N672" s="39" t="s">
        <v>52</v>
      </c>
      <c r="O672" t="s">
        <v>86</v>
      </c>
      <c r="P672" s="39" t="s">
        <v>52</v>
      </c>
      <c r="Q672" t="s">
        <v>108</v>
      </c>
      <c r="R672" t="s">
        <v>109</v>
      </c>
      <c r="S672" t="s">
        <v>69</v>
      </c>
      <c r="T672" t="s">
        <v>1107</v>
      </c>
      <c r="U672" t="s">
        <v>42</v>
      </c>
      <c r="V672" t="s">
        <v>42</v>
      </c>
      <c r="W672" s="8" t="s">
        <v>64</v>
      </c>
      <c r="X672" t="s">
        <v>42</v>
      </c>
      <c r="Y672" s="8">
        <v>1</v>
      </c>
      <c r="Z672">
        <v>1</v>
      </c>
      <c r="AA672">
        <v>0</v>
      </c>
      <c r="AB672">
        <v>1</v>
      </c>
      <c r="AC672" s="5">
        <v>1991</v>
      </c>
      <c r="AD672" s="1">
        <v>1993</v>
      </c>
      <c r="AE672" s="6">
        <v>2</v>
      </c>
      <c r="AF672">
        <v>2</v>
      </c>
      <c r="AG672" t="s">
        <v>64</v>
      </c>
      <c r="AH672" s="1" t="s">
        <v>64</v>
      </c>
    </row>
    <row r="673" spans="1:34" ht="15" customHeight="1">
      <c r="A673" t="s">
        <v>1105</v>
      </c>
      <c r="B673" t="s">
        <v>1106</v>
      </c>
      <c r="C673" s="24">
        <v>2</v>
      </c>
      <c r="D673" t="s">
        <v>38</v>
      </c>
      <c r="E673" t="s">
        <v>38</v>
      </c>
      <c r="F673" t="s">
        <v>39</v>
      </c>
      <c r="G673" t="s">
        <v>40</v>
      </c>
      <c r="H673" t="s">
        <v>41</v>
      </c>
      <c r="I673" t="s">
        <v>42</v>
      </c>
      <c r="J673" t="s">
        <v>42</v>
      </c>
      <c r="K673" t="s">
        <v>42</v>
      </c>
      <c r="L673" t="s">
        <v>42</v>
      </c>
      <c r="M673" t="s">
        <v>42</v>
      </c>
      <c r="N673" s="39" t="s">
        <v>43</v>
      </c>
      <c r="O673" t="s">
        <v>86</v>
      </c>
      <c r="P673" s="39" t="s">
        <v>1108</v>
      </c>
      <c r="Q673" t="s">
        <v>108</v>
      </c>
      <c r="R673" t="s">
        <v>109</v>
      </c>
      <c r="S673" t="s">
        <v>48</v>
      </c>
      <c r="T673" t="s">
        <v>1107</v>
      </c>
      <c r="U673" t="s">
        <v>42</v>
      </c>
      <c r="V673" t="s">
        <v>42</v>
      </c>
      <c r="W673" s="8" t="s">
        <v>64</v>
      </c>
      <c r="X673" t="s">
        <v>42</v>
      </c>
      <c r="Y673" s="8">
        <v>1</v>
      </c>
      <c r="Z673">
        <v>1</v>
      </c>
      <c r="AA673">
        <v>0</v>
      </c>
      <c r="AB673">
        <v>1</v>
      </c>
      <c r="AC673" s="5">
        <v>1991</v>
      </c>
      <c r="AD673" s="1">
        <v>1993</v>
      </c>
      <c r="AE673" s="6">
        <v>2</v>
      </c>
      <c r="AF673">
        <v>2</v>
      </c>
      <c r="AG673" t="s">
        <v>64</v>
      </c>
      <c r="AH673" s="1" t="s">
        <v>64</v>
      </c>
    </row>
    <row r="674" spans="1:34" ht="15" customHeight="1">
      <c r="A674" t="s">
        <v>1105</v>
      </c>
      <c r="B674" t="s">
        <v>1106</v>
      </c>
      <c r="C674" s="24">
        <v>3</v>
      </c>
      <c r="D674" t="s">
        <v>38</v>
      </c>
      <c r="E674" t="s">
        <v>38</v>
      </c>
      <c r="F674" t="s">
        <v>39</v>
      </c>
      <c r="G674" t="s">
        <v>40</v>
      </c>
      <c r="H674" t="s">
        <v>91</v>
      </c>
      <c r="I674" t="s">
        <v>92</v>
      </c>
      <c r="J674" t="s">
        <v>42</v>
      </c>
      <c r="K674" t="s">
        <v>42</v>
      </c>
      <c r="L674" t="s">
        <v>42</v>
      </c>
      <c r="M674" t="s">
        <v>42</v>
      </c>
      <c r="N674" s="39" t="s">
        <v>132</v>
      </c>
      <c r="O674" t="s">
        <v>86</v>
      </c>
      <c r="P674" s="39" t="s">
        <v>1109</v>
      </c>
      <c r="Q674" t="s">
        <v>108</v>
      </c>
      <c r="R674" t="s">
        <v>109</v>
      </c>
      <c r="S674" t="s">
        <v>1110</v>
      </c>
      <c r="T674" t="s">
        <v>42</v>
      </c>
      <c r="U674" t="s">
        <v>42</v>
      </c>
      <c r="V674" t="s">
        <v>42</v>
      </c>
      <c r="W674" s="8" t="s">
        <v>64</v>
      </c>
      <c r="X674" t="s">
        <v>42</v>
      </c>
      <c r="Y674" s="8">
        <v>1</v>
      </c>
      <c r="Z674">
        <v>1</v>
      </c>
      <c r="AA674">
        <v>0</v>
      </c>
      <c r="AB674">
        <v>1</v>
      </c>
      <c r="AC674" s="5">
        <v>1990</v>
      </c>
      <c r="AD674" s="1">
        <v>1993</v>
      </c>
      <c r="AE674" s="6">
        <v>3</v>
      </c>
      <c r="AF674">
        <v>4</v>
      </c>
      <c r="AG674" t="s">
        <v>64</v>
      </c>
      <c r="AH674" s="1" t="s">
        <v>64</v>
      </c>
    </row>
    <row r="675" spans="1:34" ht="15" customHeight="1">
      <c r="A675" t="s">
        <v>1105</v>
      </c>
      <c r="B675" t="s">
        <v>1106</v>
      </c>
      <c r="C675" s="24">
        <v>4</v>
      </c>
      <c r="D675" t="s">
        <v>38</v>
      </c>
      <c r="E675" t="s">
        <v>38</v>
      </c>
      <c r="F675" t="s">
        <v>39</v>
      </c>
      <c r="G675" t="s">
        <v>40</v>
      </c>
      <c r="H675" t="s">
        <v>91</v>
      </c>
      <c r="I675" t="s">
        <v>92</v>
      </c>
      <c r="J675" t="s">
        <v>42</v>
      </c>
      <c r="K675" t="s">
        <v>42</v>
      </c>
      <c r="L675" t="s">
        <v>42</v>
      </c>
      <c r="M675" t="s">
        <v>42</v>
      </c>
      <c r="N675" s="39" t="s">
        <v>132</v>
      </c>
      <c r="O675" t="s">
        <v>86</v>
      </c>
      <c r="P675" s="39" t="s">
        <v>717</v>
      </c>
      <c r="Q675" t="s">
        <v>108</v>
      </c>
      <c r="R675" t="s">
        <v>109</v>
      </c>
      <c r="S675" t="s">
        <v>1111</v>
      </c>
      <c r="T675" t="s">
        <v>42</v>
      </c>
      <c r="U675" t="s">
        <v>42</v>
      </c>
      <c r="V675" t="s">
        <v>42</v>
      </c>
      <c r="W675" s="8" t="s">
        <v>64</v>
      </c>
      <c r="X675" t="s">
        <v>42</v>
      </c>
      <c r="Y675" s="8">
        <v>1</v>
      </c>
      <c r="Z675">
        <v>1</v>
      </c>
      <c r="AA675">
        <v>0</v>
      </c>
      <c r="AB675">
        <v>1</v>
      </c>
      <c r="AC675" s="5">
        <v>1990</v>
      </c>
      <c r="AD675" s="1">
        <v>1993</v>
      </c>
      <c r="AE675" s="6">
        <v>3</v>
      </c>
      <c r="AF675">
        <v>4</v>
      </c>
      <c r="AG675" t="s">
        <v>64</v>
      </c>
      <c r="AH675" s="1" t="s">
        <v>64</v>
      </c>
    </row>
    <row r="676" spans="1:34" ht="15" customHeight="1">
      <c r="A676" t="s">
        <v>1105</v>
      </c>
      <c r="B676" t="s">
        <v>1106</v>
      </c>
      <c r="C676" s="24">
        <v>5</v>
      </c>
      <c r="D676" t="s">
        <v>38</v>
      </c>
      <c r="E676" t="s">
        <v>38</v>
      </c>
      <c r="F676" t="s">
        <v>39</v>
      </c>
      <c r="G676" t="s">
        <v>40</v>
      </c>
      <c r="H676" t="s">
        <v>91</v>
      </c>
      <c r="I676" t="s">
        <v>92</v>
      </c>
      <c r="J676" t="s">
        <v>42</v>
      </c>
      <c r="K676" t="s">
        <v>42</v>
      </c>
      <c r="L676" t="s">
        <v>42</v>
      </c>
      <c r="M676" t="s">
        <v>42</v>
      </c>
      <c r="N676" s="39" t="s">
        <v>43</v>
      </c>
      <c r="O676" t="s">
        <v>44</v>
      </c>
      <c r="P676" s="39" t="s">
        <v>1112</v>
      </c>
      <c r="Q676" t="s">
        <v>108</v>
      </c>
      <c r="R676" t="s">
        <v>109</v>
      </c>
      <c r="S676" t="s">
        <v>48</v>
      </c>
      <c r="T676" t="s">
        <v>42</v>
      </c>
      <c r="U676" t="s">
        <v>42</v>
      </c>
      <c r="V676" t="s">
        <v>42</v>
      </c>
      <c r="W676" s="8" t="s">
        <v>50</v>
      </c>
      <c r="X676" t="s">
        <v>51</v>
      </c>
      <c r="Y676" s="8">
        <v>1</v>
      </c>
      <c r="Z676">
        <v>1</v>
      </c>
      <c r="AA676">
        <v>0</v>
      </c>
      <c r="AB676">
        <v>0</v>
      </c>
      <c r="AC676" s="5">
        <v>1990</v>
      </c>
      <c r="AD676" s="1">
        <v>1993</v>
      </c>
      <c r="AE676" s="6">
        <v>3</v>
      </c>
      <c r="AF676">
        <v>4</v>
      </c>
      <c r="AG676" t="s">
        <v>64</v>
      </c>
      <c r="AH676" s="1" t="s">
        <v>64</v>
      </c>
    </row>
    <row r="677" spans="1:34" ht="15" customHeight="1">
      <c r="A677" t="s">
        <v>1105</v>
      </c>
      <c r="B677" t="s">
        <v>1106</v>
      </c>
      <c r="C677" s="24">
        <v>6</v>
      </c>
      <c r="D677" t="s">
        <v>38</v>
      </c>
      <c r="E677" t="s">
        <v>38</v>
      </c>
      <c r="F677" t="s">
        <v>39</v>
      </c>
      <c r="G677" t="s">
        <v>40</v>
      </c>
      <c r="H677" t="s">
        <v>41</v>
      </c>
      <c r="I677" t="s">
        <v>42</v>
      </c>
      <c r="J677" t="s">
        <v>42</v>
      </c>
      <c r="K677" t="s">
        <v>42</v>
      </c>
      <c r="L677" t="s">
        <v>42</v>
      </c>
      <c r="M677" t="s">
        <v>42</v>
      </c>
      <c r="N677" s="39" t="s">
        <v>132</v>
      </c>
      <c r="O677" t="s">
        <v>86</v>
      </c>
      <c r="P677" s="39" t="s">
        <v>1113</v>
      </c>
      <c r="Q677" t="s">
        <v>108</v>
      </c>
      <c r="R677" t="s">
        <v>109</v>
      </c>
      <c r="S677" t="s">
        <v>1114</v>
      </c>
      <c r="T677" t="s">
        <v>42</v>
      </c>
      <c r="U677" t="s">
        <v>42</v>
      </c>
      <c r="V677" t="s">
        <v>42</v>
      </c>
      <c r="W677" s="8" t="s">
        <v>64</v>
      </c>
      <c r="X677" t="s">
        <v>42</v>
      </c>
      <c r="Y677" s="8">
        <v>1</v>
      </c>
      <c r="Z677">
        <v>1</v>
      </c>
      <c r="AA677">
        <v>0</v>
      </c>
      <c r="AB677">
        <v>1</v>
      </c>
      <c r="AC677" s="5">
        <v>1990</v>
      </c>
      <c r="AD677" s="1">
        <v>1993</v>
      </c>
      <c r="AE677" s="6">
        <v>3</v>
      </c>
      <c r="AF677">
        <v>4</v>
      </c>
      <c r="AG677" t="s">
        <v>64</v>
      </c>
      <c r="AH677" s="1" t="s">
        <v>64</v>
      </c>
    </row>
    <row r="678" spans="1:34" ht="15" customHeight="1">
      <c r="A678" t="s">
        <v>1105</v>
      </c>
      <c r="B678" t="s">
        <v>1106</v>
      </c>
      <c r="C678" s="24">
        <v>7</v>
      </c>
      <c r="D678" t="s">
        <v>38</v>
      </c>
      <c r="E678" t="s">
        <v>38</v>
      </c>
      <c r="F678" t="s">
        <v>39</v>
      </c>
      <c r="G678" t="s">
        <v>40</v>
      </c>
      <c r="H678" t="s">
        <v>41</v>
      </c>
      <c r="I678" t="s">
        <v>42</v>
      </c>
      <c r="J678" t="s">
        <v>42</v>
      </c>
      <c r="K678" t="s">
        <v>42</v>
      </c>
      <c r="L678" t="s">
        <v>42</v>
      </c>
      <c r="M678" t="s">
        <v>42</v>
      </c>
      <c r="N678" s="39" t="s">
        <v>132</v>
      </c>
      <c r="O678" t="s">
        <v>86</v>
      </c>
      <c r="P678" s="39" t="s">
        <v>1113</v>
      </c>
      <c r="Q678" t="s">
        <v>108</v>
      </c>
      <c r="R678" t="s">
        <v>109</v>
      </c>
      <c r="S678" t="s">
        <v>1114</v>
      </c>
      <c r="T678" t="s">
        <v>42</v>
      </c>
      <c r="U678" t="s">
        <v>42</v>
      </c>
      <c r="V678" t="s">
        <v>42</v>
      </c>
      <c r="W678" s="8" t="s">
        <v>64</v>
      </c>
      <c r="X678" t="s">
        <v>42</v>
      </c>
      <c r="Y678" s="8">
        <v>0</v>
      </c>
      <c r="Z678">
        <v>1</v>
      </c>
      <c r="AA678">
        <v>0</v>
      </c>
      <c r="AB678">
        <v>1</v>
      </c>
      <c r="AC678" s="5">
        <v>1993</v>
      </c>
      <c r="AD678" s="1">
        <v>1994</v>
      </c>
      <c r="AE678" s="6">
        <v>1</v>
      </c>
      <c r="AF678">
        <v>21</v>
      </c>
      <c r="AG678" t="s">
        <v>64</v>
      </c>
      <c r="AH678" s="1" t="s">
        <v>64</v>
      </c>
    </row>
    <row r="679" spans="1:34" ht="15" customHeight="1">
      <c r="A679" t="s">
        <v>1105</v>
      </c>
      <c r="B679" t="s">
        <v>1106</v>
      </c>
      <c r="C679" s="24">
        <v>8</v>
      </c>
      <c r="D679" t="s">
        <v>38</v>
      </c>
      <c r="E679" t="s">
        <v>38</v>
      </c>
      <c r="F679" t="s">
        <v>39</v>
      </c>
      <c r="G679" t="s">
        <v>40</v>
      </c>
      <c r="H679" t="s">
        <v>91</v>
      </c>
      <c r="I679" t="s">
        <v>92</v>
      </c>
      <c r="J679" t="s">
        <v>42</v>
      </c>
      <c r="K679" t="s">
        <v>42</v>
      </c>
      <c r="L679" t="s">
        <v>42</v>
      </c>
      <c r="M679" t="s">
        <v>42</v>
      </c>
      <c r="N679" s="39" t="s">
        <v>132</v>
      </c>
      <c r="O679" t="s">
        <v>86</v>
      </c>
      <c r="P679" s="39" t="s">
        <v>1109</v>
      </c>
      <c r="Q679" t="s">
        <v>108</v>
      </c>
      <c r="R679" t="s">
        <v>109</v>
      </c>
      <c r="S679" t="s">
        <v>1115</v>
      </c>
      <c r="T679" t="s">
        <v>42</v>
      </c>
      <c r="U679" t="s">
        <v>42</v>
      </c>
      <c r="V679" t="s">
        <v>42</v>
      </c>
      <c r="W679" s="8" t="s">
        <v>64</v>
      </c>
      <c r="X679" t="s">
        <v>42</v>
      </c>
      <c r="Y679" s="8">
        <v>0</v>
      </c>
      <c r="Z679">
        <v>1</v>
      </c>
      <c r="AA679">
        <v>0</v>
      </c>
      <c r="AB679">
        <v>1</v>
      </c>
      <c r="AC679" s="5">
        <v>1993</v>
      </c>
      <c r="AD679" s="1">
        <v>1994</v>
      </c>
      <c r="AE679" s="6">
        <v>1</v>
      </c>
      <c r="AF679">
        <v>2</v>
      </c>
      <c r="AG679" t="s">
        <v>64</v>
      </c>
      <c r="AH679" s="1" t="s">
        <v>64</v>
      </c>
    </row>
    <row r="680" spans="1:34" ht="15" customHeight="1">
      <c r="A680" t="s">
        <v>1105</v>
      </c>
      <c r="B680" t="s">
        <v>1106</v>
      </c>
      <c r="C680" s="24">
        <v>9</v>
      </c>
      <c r="D680" t="s">
        <v>38</v>
      </c>
      <c r="E680" t="s">
        <v>38</v>
      </c>
      <c r="F680" t="s">
        <v>39</v>
      </c>
      <c r="G680" t="s">
        <v>40</v>
      </c>
      <c r="H680" t="s">
        <v>91</v>
      </c>
      <c r="I680" t="s">
        <v>92</v>
      </c>
      <c r="J680" t="s">
        <v>42</v>
      </c>
      <c r="K680" t="s">
        <v>42</v>
      </c>
      <c r="L680" t="s">
        <v>42</v>
      </c>
      <c r="M680" t="s">
        <v>42</v>
      </c>
      <c r="N680" s="39" t="s">
        <v>132</v>
      </c>
      <c r="O680" t="s">
        <v>86</v>
      </c>
      <c r="P680" s="39" t="s">
        <v>717</v>
      </c>
      <c r="Q680" t="s">
        <v>108</v>
      </c>
      <c r="R680" t="s">
        <v>109</v>
      </c>
      <c r="S680" t="s">
        <v>1116</v>
      </c>
      <c r="T680" t="s">
        <v>42</v>
      </c>
      <c r="U680" t="s">
        <v>42</v>
      </c>
      <c r="V680" t="s">
        <v>42</v>
      </c>
      <c r="W680" s="8" t="s">
        <v>64</v>
      </c>
      <c r="X680" t="s">
        <v>42</v>
      </c>
      <c r="Y680" s="8">
        <v>0</v>
      </c>
      <c r="Z680">
        <v>1</v>
      </c>
      <c r="AA680">
        <v>0</v>
      </c>
      <c r="AB680">
        <v>1</v>
      </c>
      <c r="AC680" s="5">
        <v>1993</v>
      </c>
      <c r="AD680" s="1">
        <v>1994</v>
      </c>
      <c r="AE680" s="6">
        <v>1</v>
      </c>
      <c r="AF680">
        <v>2</v>
      </c>
      <c r="AG680" t="s">
        <v>64</v>
      </c>
      <c r="AH680" s="1" t="s">
        <v>64</v>
      </c>
    </row>
    <row r="681" spans="1:34" s="9" customFormat="1" ht="15" customHeight="1">
      <c r="A681" s="9" t="s">
        <v>1105</v>
      </c>
      <c r="B681" s="9" t="s">
        <v>1106</v>
      </c>
      <c r="C681" s="25">
        <v>10</v>
      </c>
      <c r="D681" s="9" t="s">
        <v>38</v>
      </c>
      <c r="E681" s="9" t="s">
        <v>38</v>
      </c>
      <c r="F681" s="9" t="s">
        <v>39</v>
      </c>
      <c r="G681" s="9" t="s">
        <v>40</v>
      </c>
      <c r="H681" s="9" t="s">
        <v>91</v>
      </c>
      <c r="I681" s="9" t="s">
        <v>92</v>
      </c>
      <c r="J681" s="9" t="s">
        <v>42</v>
      </c>
      <c r="K681" s="9" t="s">
        <v>42</v>
      </c>
      <c r="L681" s="9" t="s">
        <v>42</v>
      </c>
      <c r="M681" s="9" t="s">
        <v>42</v>
      </c>
      <c r="N681" s="40" t="s">
        <v>43</v>
      </c>
      <c r="O681" s="9" t="s">
        <v>44</v>
      </c>
      <c r="P681" s="40" t="s">
        <v>1112</v>
      </c>
      <c r="Q681" s="9" t="s">
        <v>108</v>
      </c>
      <c r="R681" s="9" t="s">
        <v>109</v>
      </c>
      <c r="S681" s="9" t="s">
        <v>48</v>
      </c>
      <c r="T681" s="9" t="s">
        <v>42</v>
      </c>
      <c r="U681" s="9" t="s">
        <v>42</v>
      </c>
      <c r="V681" s="9" t="s">
        <v>42</v>
      </c>
      <c r="W681" s="11" t="s">
        <v>50</v>
      </c>
      <c r="X681" s="9" t="s">
        <v>51</v>
      </c>
      <c r="Y681" s="11">
        <v>0</v>
      </c>
      <c r="Z681" s="9">
        <v>1</v>
      </c>
      <c r="AA681" s="9">
        <v>0</v>
      </c>
      <c r="AB681" s="9">
        <v>1</v>
      </c>
      <c r="AC681" s="12">
        <v>1993</v>
      </c>
      <c r="AD681" s="10">
        <v>1994</v>
      </c>
      <c r="AE681" s="13">
        <v>1</v>
      </c>
      <c r="AF681" s="9">
        <v>4</v>
      </c>
      <c r="AG681" s="9" t="s">
        <v>64</v>
      </c>
      <c r="AH681" s="10" t="s">
        <v>64</v>
      </c>
    </row>
    <row r="682" spans="1:34" ht="15" customHeight="1">
      <c r="A682" t="s">
        <v>1117</v>
      </c>
      <c r="B682" t="s">
        <v>1118</v>
      </c>
      <c r="C682" s="1">
        <v>1</v>
      </c>
      <c r="D682" t="s">
        <v>502</v>
      </c>
      <c r="E682" t="s">
        <v>397</v>
      </c>
      <c r="F682" t="s">
        <v>39</v>
      </c>
      <c r="G682" t="s">
        <v>40</v>
      </c>
      <c r="H682" t="s">
        <v>427</v>
      </c>
      <c r="I682" t="s">
        <v>1119</v>
      </c>
      <c r="J682" t="s">
        <v>42</v>
      </c>
      <c r="K682" t="s">
        <v>42</v>
      </c>
      <c r="L682" t="s">
        <v>42</v>
      </c>
      <c r="M682" t="s">
        <v>42</v>
      </c>
      <c r="N682" s="39" t="s">
        <v>430</v>
      </c>
      <c r="O682" t="s">
        <v>86</v>
      </c>
      <c r="P682" s="39" t="s">
        <v>436</v>
      </c>
      <c r="Q682" t="s">
        <v>108</v>
      </c>
      <c r="R682" t="s">
        <v>109</v>
      </c>
      <c r="S682" t="s">
        <v>42</v>
      </c>
      <c r="T682" t="s">
        <v>1120</v>
      </c>
      <c r="U682" t="s">
        <v>42</v>
      </c>
      <c r="V682" t="s">
        <v>42</v>
      </c>
      <c r="W682" s="8" t="s">
        <v>64</v>
      </c>
      <c r="X682" t="s">
        <v>42</v>
      </c>
      <c r="Y682" s="8">
        <v>0</v>
      </c>
      <c r="Z682">
        <v>0</v>
      </c>
      <c r="AA682">
        <v>7</v>
      </c>
      <c r="AB682">
        <v>0</v>
      </c>
      <c r="AC682" s="5">
        <v>2004</v>
      </c>
      <c r="AD682" s="1">
        <v>2004</v>
      </c>
      <c r="AE682" s="6" t="s">
        <v>72</v>
      </c>
      <c r="AF682">
        <v>1</v>
      </c>
      <c r="AG682" t="s">
        <v>64</v>
      </c>
      <c r="AH682" s="1" t="s">
        <v>64</v>
      </c>
    </row>
    <row r="683" spans="1:34" ht="15" customHeight="1">
      <c r="A683" t="s">
        <v>1117</v>
      </c>
      <c r="B683" t="s">
        <v>1118</v>
      </c>
      <c r="C683" s="1">
        <v>2</v>
      </c>
      <c r="D683" t="s">
        <v>502</v>
      </c>
      <c r="E683" t="s">
        <v>426</v>
      </c>
      <c r="F683" t="s">
        <v>39</v>
      </c>
      <c r="G683" t="s">
        <v>40</v>
      </c>
      <c r="H683" t="s">
        <v>427</v>
      </c>
      <c r="I683" t="s">
        <v>1119</v>
      </c>
      <c r="J683" t="s">
        <v>42</v>
      </c>
      <c r="K683" t="s">
        <v>42</v>
      </c>
      <c r="L683" t="s">
        <v>42</v>
      </c>
      <c r="M683" t="s">
        <v>42</v>
      </c>
      <c r="N683" s="39" t="s">
        <v>430</v>
      </c>
      <c r="O683" t="s">
        <v>86</v>
      </c>
      <c r="P683" s="39" t="s">
        <v>456</v>
      </c>
      <c r="Q683" t="s">
        <v>108</v>
      </c>
      <c r="R683" t="s">
        <v>109</v>
      </c>
      <c r="S683" t="s">
        <v>42</v>
      </c>
      <c r="T683" t="s">
        <v>1120</v>
      </c>
      <c r="U683" t="s">
        <v>42</v>
      </c>
      <c r="V683" t="s">
        <v>42</v>
      </c>
      <c r="W683" s="8" t="s">
        <v>64</v>
      </c>
      <c r="X683" t="s">
        <v>42</v>
      </c>
      <c r="Y683" s="8">
        <v>0</v>
      </c>
      <c r="Z683">
        <v>0</v>
      </c>
      <c r="AA683">
        <v>7</v>
      </c>
      <c r="AB683">
        <v>0</v>
      </c>
      <c r="AC683" s="5">
        <v>2004</v>
      </c>
      <c r="AD683" s="1">
        <v>2004</v>
      </c>
      <c r="AE683" s="6" t="s">
        <v>72</v>
      </c>
      <c r="AF683">
        <v>1</v>
      </c>
      <c r="AG683" t="s">
        <v>64</v>
      </c>
      <c r="AH683" s="1" t="s">
        <v>64</v>
      </c>
    </row>
    <row r="684" spans="1:34" s="9" customFormat="1" ht="15" customHeight="1">
      <c r="A684" s="9" t="s">
        <v>1117</v>
      </c>
      <c r="B684" s="9" t="s">
        <v>1118</v>
      </c>
      <c r="C684" s="10">
        <v>3</v>
      </c>
      <c r="D684" t="s">
        <v>502</v>
      </c>
      <c r="E684" t="s">
        <v>397</v>
      </c>
      <c r="F684" s="9" t="s">
        <v>39</v>
      </c>
      <c r="G684" s="9" t="s">
        <v>40</v>
      </c>
      <c r="H684" s="9" t="s">
        <v>427</v>
      </c>
      <c r="I684" s="9" t="s">
        <v>1119</v>
      </c>
      <c r="J684" s="9" t="s">
        <v>42</v>
      </c>
      <c r="K684" s="9" t="s">
        <v>42</v>
      </c>
      <c r="L684" s="9" t="s">
        <v>42</v>
      </c>
      <c r="M684" s="9" t="s">
        <v>42</v>
      </c>
      <c r="N684" s="40" t="s">
        <v>430</v>
      </c>
      <c r="O684" s="9" t="s">
        <v>86</v>
      </c>
      <c r="P684" s="39" t="s">
        <v>493</v>
      </c>
      <c r="Q684" t="s">
        <v>108</v>
      </c>
      <c r="R684" t="s">
        <v>109</v>
      </c>
      <c r="S684" s="9" t="s">
        <v>42</v>
      </c>
      <c r="T684" s="9" t="s">
        <v>1120</v>
      </c>
      <c r="U684" s="9" t="s">
        <v>42</v>
      </c>
      <c r="V684" s="9" t="s">
        <v>42</v>
      </c>
      <c r="W684" s="11" t="s">
        <v>64</v>
      </c>
      <c r="X684" s="9" t="s">
        <v>42</v>
      </c>
      <c r="Y684" s="11">
        <v>0</v>
      </c>
      <c r="Z684" s="9">
        <v>0</v>
      </c>
      <c r="AA684" s="9">
        <v>7</v>
      </c>
      <c r="AB684" s="9">
        <v>0</v>
      </c>
      <c r="AC684" s="12">
        <v>2004</v>
      </c>
      <c r="AD684" s="10">
        <v>2004</v>
      </c>
      <c r="AE684" s="13" t="s">
        <v>72</v>
      </c>
      <c r="AF684" s="9">
        <v>1</v>
      </c>
      <c r="AG684" s="9" t="s">
        <v>64</v>
      </c>
      <c r="AH684" s="10" t="s">
        <v>64</v>
      </c>
    </row>
    <row r="685" spans="1:34" ht="15" customHeight="1">
      <c r="A685" t="s">
        <v>1121</v>
      </c>
      <c r="B685" t="s">
        <v>1122</v>
      </c>
      <c r="C685" s="1">
        <v>1</v>
      </c>
      <c r="D685" t="s">
        <v>38</v>
      </c>
      <c r="E685" t="s">
        <v>38</v>
      </c>
      <c r="F685" t="s">
        <v>39</v>
      </c>
      <c r="G685" t="s">
        <v>40</v>
      </c>
      <c r="H685" t="s">
        <v>41</v>
      </c>
      <c r="I685" t="s">
        <v>42</v>
      </c>
      <c r="J685" t="s">
        <v>42</v>
      </c>
      <c r="K685" t="s">
        <v>42</v>
      </c>
      <c r="L685" t="s">
        <v>42</v>
      </c>
      <c r="M685" t="s">
        <v>42</v>
      </c>
      <c r="N685" s="39" t="s">
        <v>52</v>
      </c>
      <c r="O685" t="s">
        <v>44</v>
      </c>
      <c r="P685" s="39" t="s">
        <v>52</v>
      </c>
      <c r="Q685" t="s">
        <v>46</v>
      </c>
      <c r="R685" t="s">
        <v>68</v>
      </c>
      <c r="S685" t="s">
        <v>69</v>
      </c>
      <c r="T685" t="s">
        <v>42</v>
      </c>
      <c r="U685" t="s">
        <v>42</v>
      </c>
      <c r="V685" t="s">
        <v>42</v>
      </c>
      <c r="W685" s="8" t="s">
        <v>50</v>
      </c>
      <c r="X685" t="s">
        <v>85</v>
      </c>
      <c r="Y685" s="8">
        <v>0</v>
      </c>
      <c r="Z685">
        <v>3</v>
      </c>
      <c r="AA685">
        <v>0</v>
      </c>
      <c r="AB685">
        <v>3</v>
      </c>
      <c r="AC685" s="5">
        <v>2005</v>
      </c>
      <c r="AD685" s="1">
        <v>2006</v>
      </c>
      <c r="AE685" s="6" t="s">
        <v>72</v>
      </c>
      <c r="AF685">
        <v>1</v>
      </c>
      <c r="AG685" t="s">
        <v>64</v>
      </c>
      <c r="AH685" s="1" t="s">
        <v>64</v>
      </c>
    </row>
    <row r="686" spans="1:34" ht="15" customHeight="1">
      <c r="A686" t="s">
        <v>1121</v>
      </c>
      <c r="B686" t="s">
        <v>1122</v>
      </c>
      <c r="C686" s="1">
        <v>2</v>
      </c>
      <c r="D686" t="s">
        <v>38</v>
      </c>
      <c r="E686" t="s">
        <v>38</v>
      </c>
      <c r="F686" t="s">
        <v>39</v>
      </c>
      <c r="G686" t="s">
        <v>40</v>
      </c>
      <c r="H686" t="s">
        <v>41</v>
      </c>
      <c r="I686" t="s">
        <v>42</v>
      </c>
      <c r="J686" t="s">
        <v>42</v>
      </c>
      <c r="K686" t="s">
        <v>42</v>
      </c>
      <c r="L686" t="s">
        <v>42</v>
      </c>
      <c r="M686" t="s">
        <v>42</v>
      </c>
      <c r="N686" s="39" t="s">
        <v>43</v>
      </c>
      <c r="O686" t="s">
        <v>44</v>
      </c>
      <c r="P686" s="39" t="s">
        <v>73</v>
      </c>
      <c r="Q686" t="s">
        <v>46</v>
      </c>
      <c r="R686" t="s">
        <v>68</v>
      </c>
      <c r="S686" t="s">
        <v>48</v>
      </c>
      <c r="T686" t="s">
        <v>42</v>
      </c>
      <c r="U686" t="s">
        <v>42</v>
      </c>
      <c r="V686" t="s">
        <v>42</v>
      </c>
      <c r="W686" s="8" t="s">
        <v>50</v>
      </c>
      <c r="X686" t="s">
        <v>85</v>
      </c>
      <c r="Y686" s="8">
        <v>0</v>
      </c>
      <c r="Z686">
        <v>3</v>
      </c>
      <c r="AA686">
        <v>0</v>
      </c>
      <c r="AB686">
        <v>3</v>
      </c>
      <c r="AC686" s="5">
        <v>2005</v>
      </c>
      <c r="AD686" s="1">
        <v>2006</v>
      </c>
      <c r="AE686" s="6" t="s">
        <v>72</v>
      </c>
      <c r="AF686">
        <v>1</v>
      </c>
      <c r="AG686" t="s">
        <v>64</v>
      </c>
      <c r="AH686" s="1" t="s">
        <v>64</v>
      </c>
    </row>
    <row r="687" spans="1:34" ht="15" customHeight="1">
      <c r="A687" t="s">
        <v>1121</v>
      </c>
      <c r="B687" t="s">
        <v>1122</v>
      </c>
      <c r="C687" s="1">
        <v>3</v>
      </c>
      <c r="D687" t="s">
        <v>38</v>
      </c>
      <c r="E687" t="s">
        <v>38</v>
      </c>
      <c r="F687" t="s">
        <v>39</v>
      </c>
      <c r="G687" t="s">
        <v>40</v>
      </c>
      <c r="H687" t="s">
        <v>41</v>
      </c>
      <c r="I687" t="s">
        <v>42</v>
      </c>
      <c r="J687" t="s">
        <v>42</v>
      </c>
      <c r="K687" t="s">
        <v>42</v>
      </c>
      <c r="L687" t="s">
        <v>42</v>
      </c>
      <c r="M687" t="s">
        <v>42</v>
      </c>
      <c r="N687" s="39" t="s">
        <v>52</v>
      </c>
      <c r="O687" t="s">
        <v>44</v>
      </c>
      <c r="P687" s="39" t="s">
        <v>1123</v>
      </c>
      <c r="Q687" t="s">
        <v>46</v>
      </c>
      <c r="R687" t="s">
        <v>68</v>
      </c>
      <c r="S687" t="s">
        <v>88</v>
      </c>
      <c r="T687" t="s">
        <v>42</v>
      </c>
      <c r="U687" t="s">
        <v>42</v>
      </c>
      <c r="V687" t="s">
        <v>42</v>
      </c>
      <c r="W687" s="8" t="s">
        <v>50</v>
      </c>
      <c r="X687" t="s">
        <v>85</v>
      </c>
      <c r="Y687" s="8">
        <v>0</v>
      </c>
      <c r="Z687">
        <v>3</v>
      </c>
      <c r="AA687">
        <v>0</v>
      </c>
      <c r="AB687">
        <v>3</v>
      </c>
      <c r="AC687" s="5">
        <v>2005</v>
      </c>
      <c r="AD687" s="1">
        <v>2006</v>
      </c>
      <c r="AE687" s="6" t="s">
        <v>72</v>
      </c>
      <c r="AF687">
        <v>1</v>
      </c>
      <c r="AG687" t="s">
        <v>64</v>
      </c>
      <c r="AH687" s="1" t="s">
        <v>64</v>
      </c>
    </row>
    <row r="688" spans="1:34" ht="15" customHeight="1">
      <c r="A688" t="s">
        <v>1121</v>
      </c>
      <c r="B688" t="s">
        <v>1122</v>
      </c>
      <c r="C688" s="1">
        <v>4</v>
      </c>
      <c r="D688" t="s">
        <v>38</v>
      </c>
      <c r="E688" t="s">
        <v>38</v>
      </c>
      <c r="F688" t="s">
        <v>39</v>
      </c>
      <c r="G688" t="s">
        <v>40</v>
      </c>
      <c r="H688" t="s">
        <v>41</v>
      </c>
      <c r="I688" t="s">
        <v>42</v>
      </c>
      <c r="J688" t="s">
        <v>42</v>
      </c>
      <c r="K688" t="s">
        <v>42</v>
      </c>
      <c r="L688" t="s">
        <v>42</v>
      </c>
      <c r="M688" t="s">
        <v>42</v>
      </c>
      <c r="N688" s="39" t="s">
        <v>79</v>
      </c>
      <c r="O688" t="s">
        <v>44</v>
      </c>
      <c r="P688" s="39" t="s">
        <v>201</v>
      </c>
      <c r="Q688" t="s">
        <v>571</v>
      </c>
      <c r="R688" t="s">
        <v>42</v>
      </c>
      <c r="S688" t="s">
        <v>202</v>
      </c>
      <c r="T688" t="s">
        <v>42</v>
      </c>
      <c r="U688" t="s">
        <v>42</v>
      </c>
      <c r="V688" t="s">
        <v>42</v>
      </c>
      <c r="W688" s="8" t="s">
        <v>50</v>
      </c>
      <c r="X688" t="s">
        <v>85</v>
      </c>
      <c r="Y688" s="8">
        <v>0</v>
      </c>
      <c r="Z688">
        <v>3</v>
      </c>
      <c r="AA688">
        <v>0</v>
      </c>
      <c r="AB688">
        <v>3</v>
      </c>
      <c r="AC688" s="5">
        <v>2005</v>
      </c>
      <c r="AD688" s="1">
        <v>2006</v>
      </c>
      <c r="AE688" s="6" t="s">
        <v>72</v>
      </c>
      <c r="AF688">
        <v>1</v>
      </c>
      <c r="AG688" t="s">
        <v>64</v>
      </c>
      <c r="AH688" s="1" t="s">
        <v>64</v>
      </c>
    </row>
    <row r="689" spans="1:34" ht="15" customHeight="1">
      <c r="A689" t="s">
        <v>1121</v>
      </c>
      <c r="B689" t="s">
        <v>1122</v>
      </c>
      <c r="C689" s="1">
        <v>5</v>
      </c>
      <c r="D689" t="s">
        <v>38</v>
      </c>
      <c r="E689" t="s">
        <v>38</v>
      </c>
      <c r="F689" t="s">
        <v>39</v>
      </c>
      <c r="G689" t="s">
        <v>40</v>
      </c>
      <c r="H689" t="s">
        <v>41</v>
      </c>
      <c r="I689" t="s">
        <v>42</v>
      </c>
      <c r="J689" t="s">
        <v>42</v>
      </c>
      <c r="K689" t="s">
        <v>42</v>
      </c>
      <c r="L689" t="s">
        <v>42</v>
      </c>
      <c r="M689" t="s">
        <v>42</v>
      </c>
      <c r="N689" s="39" t="s">
        <v>132</v>
      </c>
      <c r="O689" t="s">
        <v>44</v>
      </c>
      <c r="P689" s="39" t="s">
        <v>132</v>
      </c>
      <c r="Q689" t="s">
        <v>1124</v>
      </c>
      <c r="R689" t="s">
        <v>42</v>
      </c>
      <c r="S689" t="s">
        <v>76</v>
      </c>
      <c r="T689" t="s">
        <v>42</v>
      </c>
      <c r="U689" t="s">
        <v>42</v>
      </c>
      <c r="V689" t="s">
        <v>42</v>
      </c>
      <c r="W689" s="8" t="s">
        <v>50</v>
      </c>
      <c r="X689" t="s">
        <v>85</v>
      </c>
      <c r="Y689" s="8">
        <v>0</v>
      </c>
      <c r="Z689">
        <v>3</v>
      </c>
      <c r="AA689">
        <v>0</v>
      </c>
      <c r="AB689">
        <v>3</v>
      </c>
      <c r="AC689" s="5">
        <v>2005</v>
      </c>
      <c r="AD689" s="1">
        <v>2006</v>
      </c>
      <c r="AE689" s="6" t="s">
        <v>72</v>
      </c>
      <c r="AF689">
        <v>1</v>
      </c>
      <c r="AG689" t="s">
        <v>64</v>
      </c>
      <c r="AH689" s="1" t="s">
        <v>64</v>
      </c>
    </row>
    <row r="690" spans="1:34" ht="15" customHeight="1">
      <c r="A690" t="s">
        <v>1121</v>
      </c>
      <c r="B690" t="s">
        <v>1122</v>
      </c>
      <c r="C690" s="1">
        <v>6</v>
      </c>
      <c r="D690" t="s">
        <v>38</v>
      </c>
      <c r="E690" t="s">
        <v>38</v>
      </c>
      <c r="F690" t="s">
        <v>39</v>
      </c>
      <c r="G690" t="s">
        <v>40</v>
      </c>
      <c r="H690" t="s">
        <v>41</v>
      </c>
      <c r="I690" t="s">
        <v>42</v>
      </c>
      <c r="J690" t="s">
        <v>42</v>
      </c>
      <c r="K690" t="s">
        <v>42</v>
      </c>
      <c r="L690" t="s">
        <v>42</v>
      </c>
      <c r="M690" t="s">
        <v>42</v>
      </c>
      <c r="N690" s="39" t="s">
        <v>186</v>
      </c>
      <c r="O690" t="s">
        <v>44</v>
      </c>
      <c r="P690" s="39" t="s">
        <v>186</v>
      </c>
      <c r="Q690" t="s">
        <v>1124</v>
      </c>
      <c r="R690" t="s">
        <v>42</v>
      </c>
      <c r="S690" t="s">
        <v>1012</v>
      </c>
      <c r="T690" t="s">
        <v>42</v>
      </c>
      <c r="U690" t="s">
        <v>42</v>
      </c>
      <c r="V690" t="s">
        <v>42</v>
      </c>
      <c r="W690" s="8" t="s">
        <v>50</v>
      </c>
      <c r="X690" t="s">
        <v>1013</v>
      </c>
      <c r="Y690" s="8">
        <v>0</v>
      </c>
      <c r="Z690">
        <v>3</v>
      </c>
      <c r="AA690">
        <v>0</v>
      </c>
      <c r="AB690">
        <v>3</v>
      </c>
      <c r="AC690" s="5">
        <v>2005</v>
      </c>
      <c r="AD690" s="1">
        <v>2006</v>
      </c>
      <c r="AE690" s="6" t="s">
        <v>72</v>
      </c>
      <c r="AF690">
        <v>1</v>
      </c>
      <c r="AG690" t="s">
        <v>64</v>
      </c>
      <c r="AH690" s="1" t="s">
        <v>64</v>
      </c>
    </row>
    <row r="691" spans="1:34" ht="15" customHeight="1">
      <c r="A691" t="s">
        <v>1121</v>
      </c>
      <c r="B691" t="s">
        <v>1122</v>
      </c>
      <c r="C691" s="1">
        <v>7</v>
      </c>
      <c r="D691" t="s">
        <v>38</v>
      </c>
      <c r="E691" t="s">
        <v>38</v>
      </c>
      <c r="F691" t="s">
        <v>39</v>
      </c>
      <c r="G691" t="s">
        <v>40</v>
      </c>
      <c r="H691" t="s">
        <v>41</v>
      </c>
      <c r="I691" t="s">
        <v>42</v>
      </c>
      <c r="J691" t="s">
        <v>42</v>
      </c>
      <c r="K691" t="s">
        <v>42</v>
      </c>
      <c r="L691" t="s">
        <v>42</v>
      </c>
      <c r="M691" t="s">
        <v>42</v>
      </c>
      <c r="N691" s="39" t="s">
        <v>132</v>
      </c>
      <c r="O691" t="s">
        <v>44</v>
      </c>
      <c r="P691" s="39" t="s">
        <v>132</v>
      </c>
      <c r="Q691" t="s">
        <v>1125</v>
      </c>
      <c r="R691" t="s">
        <v>42</v>
      </c>
      <c r="S691" t="s">
        <v>76</v>
      </c>
      <c r="T691" t="s">
        <v>42</v>
      </c>
      <c r="U691" t="s">
        <v>42</v>
      </c>
      <c r="V691" t="s">
        <v>42</v>
      </c>
      <c r="W691" s="8" t="s">
        <v>613</v>
      </c>
      <c r="X691" t="s">
        <v>85</v>
      </c>
      <c r="Y691" s="8">
        <v>0</v>
      </c>
      <c r="Z691">
        <v>3</v>
      </c>
      <c r="AA691">
        <v>0</v>
      </c>
      <c r="AB691">
        <v>3</v>
      </c>
      <c r="AC691" s="5">
        <v>2005</v>
      </c>
      <c r="AD691" s="1">
        <v>2006</v>
      </c>
      <c r="AE691" s="6" t="s">
        <v>72</v>
      </c>
      <c r="AF691">
        <v>1</v>
      </c>
      <c r="AG691" t="s">
        <v>64</v>
      </c>
      <c r="AH691" s="1" t="s">
        <v>64</v>
      </c>
    </row>
    <row r="692" spans="1:34" ht="15" customHeight="1">
      <c r="A692" t="s">
        <v>1121</v>
      </c>
      <c r="B692" t="s">
        <v>1122</v>
      </c>
      <c r="C692" s="1">
        <v>8</v>
      </c>
      <c r="D692" t="s">
        <v>38</v>
      </c>
      <c r="E692" t="s">
        <v>38</v>
      </c>
      <c r="F692" t="s">
        <v>39</v>
      </c>
      <c r="G692" t="s">
        <v>40</v>
      </c>
      <c r="H692" t="s">
        <v>41</v>
      </c>
      <c r="I692" t="s">
        <v>42</v>
      </c>
      <c r="J692" t="s">
        <v>42</v>
      </c>
      <c r="K692" t="s">
        <v>42</v>
      </c>
      <c r="L692" t="s">
        <v>42</v>
      </c>
      <c r="M692" t="s">
        <v>42</v>
      </c>
      <c r="N692" s="39" t="s">
        <v>186</v>
      </c>
      <c r="O692" t="s">
        <v>44</v>
      </c>
      <c r="P692" s="39" t="s">
        <v>186</v>
      </c>
      <c r="Q692" t="s">
        <v>1125</v>
      </c>
      <c r="R692" t="s">
        <v>42</v>
      </c>
      <c r="S692" t="s">
        <v>1012</v>
      </c>
      <c r="T692" t="s">
        <v>42</v>
      </c>
      <c r="U692" t="s">
        <v>42</v>
      </c>
      <c r="V692" t="s">
        <v>42</v>
      </c>
      <c r="W692" s="8" t="s">
        <v>50</v>
      </c>
      <c r="X692" t="s">
        <v>1126</v>
      </c>
      <c r="Y692" s="8">
        <v>0</v>
      </c>
      <c r="Z692">
        <v>3</v>
      </c>
      <c r="AA692">
        <v>0</v>
      </c>
      <c r="AB692">
        <v>3</v>
      </c>
      <c r="AC692" s="5">
        <v>2005</v>
      </c>
      <c r="AD692" s="1">
        <v>2006</v>
      </c>
      <c r="AE692" s="6" t="s">
        <v>72</v>
      </c>
      <c r="AF692">
        <v>1</v>
      </c>
      <c r="AG692" t="s">
        <v>64</v>
      </c>
      <c r="AH692" s="1" t="s">
        <v>64</v>
      </c>
    </row>
    <row r="693" spans="1:34" ht="15" customHeight="1">
      <c r="A693" t="s">
        <v>1121</v>
      </c>
      <c r="B693" t="s">
        <v>1122</v>
      </c>
      <c r="C693" s="1">
        <v>9</v>
      </c>
      <c r="D693" t="s">
        <v>38</v>
      </c>
      <c r="E693" t="s">
        <v>38</v>
      </c>
      <c r="F693" t="s">
        <v>39</v>
      </c>
      <c r="G693" t="s">
        <v>40</v>
      </c>
      <c r="H693" t="s">
        <v>41</v>
      </c>
      <c r="I693" t="s">
        <v>42</v>
      </c>
      <c r="J693" t="s">
        <v>42</v>
      </c>
      <c r="K693" t="s">
        <v>42</v>
      </c>
      <c r="L693" t="s">
        <v>42</v>
      </c>
      <c r="M693" t="s">
        <v>42</v>
      </c>
      <c r="N693" s="39" t="s">
        <v>79</v>
      </c>
      <c r="O693" t="s">
        <v>44</v>
      </c>
      <c r="P693" s="39" t="s">
        <v>201</v>
      </c>
      <c r="Q693" t="s">
        <v>77</v>
      </c>
      <c r="R693" t="s">
        <v>42</v>
      </c>
      <c r="S693" t="s">
        <v>202</v>
      </c>
      <c r="T693" t="s">
        <v>42</v>
      </c>
      <c r="U693" t="s">
        <v>42</v>
      </c>
      <c r="V693" t="s">
        <v>42</v>
      </c>
      <c r="W693" s="8" t="s">
        <v>50</v>
      </c>
      <c r="X693" t="s">
        <v>85</v>
      </c>
      <c r="Y693" s="8">
        <v>0</v>
      </c>
      <c r="Z693">
        <v>3</v>
      </c>
      <c r="AA693">
        <v>0</v>
      </c>
      <c r="AB693">
        <v>3</v>
      </c>
      <c r="AC693" s="5">
        <v>2005</v>
      </c>
      <c r="AD693" s="1">
        <v>2006</v>
      </c>
      <c r="AE693" s="6" t="s">
        <v>72</v>
      </c>
      <c r="AF693">
        <v>1</v>
      </c>
      <c r="AG693" t="s">
        <v>64</v>
      </c>
      <c r="AH693" s="1" t="s">
        <v>64</v>
      </c>
    </row>
    <row r="694" spans="1:34" ht="15" customHeight="1">
      <c r="A694" t="s">
        <v>1121</v>
      </c>
      <c r="B694" t="s">
        <v>1122</v>
      </c>
      <c r="C694" s="1">
        <v>10</v>
      </c>
      <c r="D694" t="s">
        <v>38</v>
      </c>
      <c r="E694" t="s">
        <v>38</v>
      </c>
      <c r="F694" t="s">
        <v>39</v>
      </c>
      <c r="G694" t="s">
        <v>40</v>
      </c>
      <c r="H694" t="s">
        <v>41</v>
      </c>
      <c r="I694" t="s">
        <v>42</v>
      </c>
      <c r="J694" t="s">
        <v>42</v>
      </c>
      <c r="K694" t="s">
        <v>42</v>
      </c>
      <c r="L694" t="s">
        <v>42</v>
      </c>
      <c r="M694" t="s">
        <v>42</v>
      </c>
      <c r="N694" s="39" t="s">
        <v>132</v>
      </c>
      <c r="O694" t="s">
        <v>44</v>
      </c>
      <c r="P694" s="39" t="s">
        <v>132</v>
      </c>
      <c r="Q694" t="s">
        <v>77</v>
      </c>
      <c r="R694" t="s">
        <v>42</v>
      </c>
      <c r="S694" t="s">
        <v>1127</v>
      </c>
      <c r="T694" t="s">
        <v>42</v>
      </c>
      <c r="U694" t="s">
        <v>42</v>
      </c>
      <c r="V694" t="s">
        <v>42</v>
      </c>
      <c r="W694" s="8" t="s">
        <v>50</v>
      </c>
      <c r="X694" t="s">
        <v>85</v>
      </c>
      <c r="Y694" s="8">
        <v>0</v>
      </c>
      <c r="Z694">
        <v>3</v>
      </c>
      <c r="AA694">
        <v>0</v>
      </c>
      <c r="AB694">
        <v>3</v>
      </c>
      <c r="AC694" s="5">
        <v>2005</v>
      </c>
      <c r="AD694" s="1">
        <v>2006</v>
      </c>
      <c r="AE694" s="6" t="s">
        <v>72</v>
      </c>
      <c r="AF694">
        <v>1</v>
      </c>
      <c r="AG694" t="s">
        <v>64</v>
      </c>
      <c r="AH694" s="1" t="s">
        <v>64</v>
      </c>
    </row>
    <row r="695" spans="1:34" s="9" customFormat="1" ht="15" customHeight="1">
      <c r="A695" s="9" t="s">
        <v>1121</v>
      </c>
      <c r="B695" s="9" t="s">
        <v>1122</v>
      </c>
      <c r="C695" s="10">
        <v>11</v>
      </c>
      <c r="D695" s="9" t="s">
        <v>38</v>
      </c>
      <c r="E695" s="9" t="s">
        <v>38</v>
      </c>
      <c r="F695" s="9" t="s">
        <v>39</v>
      </c>
      <c r="G695" s="9" t="s">
        <v>40</v>
      </c>
      <c r="H695" s="9" t="s">
        <v>41</v>
      </c>
      <c r="I695" s="9" t="s">
        <v>42</v>
      </c>
      <c r="J695" s="9" t="s">
        <v>42</v>
      </c>
      <c r="K695" s="9" t="s">
        <v>42</v>
      </c>
      <c r="L695" s="9" t="s">
        <v>42</v>
      </c>
      <c r="M695" s="9" t="s">
        <v>42</v>
      </c>
      <c r="N695" s="40" t="s">
        <v>186</v>
      </c>
      <c r="O695" s="9" t="s">
        <v>44</v>
      </c>
      <c r="P695" s="40" t="s">
        <v>186</v>
      </c>
      <c r="Q695" s="9" t="s">
        <v>77</v>
      </c>
      <c r="R695" s="9" t="s">
        <v>42</v>
      </c>
      <c r="S695" s="9" t="s">
        <v>1012</v>
      </c>
      <c r="T695" s="9" t="s">
        <v>42</v>
      </c>
      <c r="U695" s="9" t="s">
        <v>42</v>
      </c>
      <c r="V695" s="9" t="s">
        <v>42</v>
      </c>
      <c r="W695" s="11" t="s">
        <v>50</v>
      </c>
      <c r="X695" s="9" t="s">
        <v>1126</v>
      </c>
      <c r="Y695" s="11">
        <v>0</v>
      </c>
      <c r="Z695" s="9">
        <v>3</v>
      </c>
      <c r="AA695" s="9">
        <v>0</v>
      </c>
      <c r="AB695" s="9">
        <v>3</v>
      </c>
      <c r="AC695" s="12">
        <v>2005</v>
      </c>
      <c r="AD695" s="10">
        <v>2006</v>
      </c>
      <c r="AE695" s="13" t="s">
        <v>72</v>
      </c>
      <c r="AF695" s="9">
        <v>1</v>
      </c>
      <c r="AG695" s="9" t="s">
        <v>64</v>
      </c>
      <c r="AH695" s="10" t="s">
        <v>64</v>
      </c>
    </row>
    <row r="696" spans="1:34" ht="15" customHeight="1">
      <c r="A696" t="s">
        <v>1128</v>
      </c>
      <c r="B696" t="s">
        <v>1129</v>
      </c>
      <c r="C696" s="24">
        <v>1</v>
      </c>
      <c r="D696" t="s">
        <v>38</v>
      </c>
      <c r="E696" t="s">
        <v>38</v>
      </c>
      <c r="F696" t="s">
        <v>39</v>
      </c>
      <c r="G696" t="s">
        <v>40</v>
      </c>
      <c r="H696" t="s">
        <v>428</v>
      </c>
      <c r="I696" t="s">
        <v>956</v>
      </c>
      <c r="J696" t="s">
        <v>42</v>
      </c>
      <c r="K696" t="s">
        <v>42</v>
      </c>
      <c r="L696" t="s">
        <v>42</v>
      </c>
      <c r="M696" s="1" t="s">
        <v>42</v>
      </c>
      <c r="N696" s="39" t="s">
        <v>132</v>
      </c>
      <c r="O696" t="s">
        <v>86</v>
      </c>
      <c r="P696" s="39" t="s">
        <v>1130</v>
      </c>
      <c r="Q696" t="s">
        <v>1131</v>
      </c>
      <c r="R696" t="s">
        <v>1132</v>
      </c>
      <c r="S696" t="s">
        <v>1133</v>
      </c>
      <c r="T696" t="s">
        <v>42</v>
      </c>
      <c r="U696" t="s">
        <v>42</v>
      </c>
      <c r="V696" t="s">
        <v>42</v>
      </c>
      <c r="W696" s="8" t="s">
        <v>64</v>
      </c>
      <c r="X696" t="s">
        <v>42</v>
      </c>
      <c r="Y696" s="8">
        <v>1</v>
      </c>
      <c r="Z696">
        <v>0</v>
      </c>
      <c r="AA696">
        <v>0</v>
      </c>
      <c r="AB696">
        <v>0</v>
      </c>
      <c r="AC696" s="5">
        <v>2022</v>
      </c>
      <c r="AD696" s="1">
        <v>2022</v>
      </c>
      <c r="AE696" s="6" t="s">
        <v>72</v>
      </c>
      <c r="AF696">
        <v>60</v>
      </c>
      <c r="AG696" t="s">
        <v>64</v>
      </c>
      <c r="AH696" s="1" t="s">
        <v>64</v>
      </c>
    </row>
    <row r="697" spans="1:34" ht="15" customHeight="1">
      <c r="A697" t="s">
        <v>1128</v>
      </c>
      <c r="B697" t="s">
        <v>1129</v>
      </c>
      <c r="C697" s="24">
        <v>2</v>
      </c>
      <c r="D697" t="s">
        <v>38</v>
      </c>
      <c r="E697" t="s">
        <v>38</v>
      </c>
      <c r="F697" t="s">
        <v>39</v>
      </c>
      <c r="G697" t="s">
        <v>40</v>
      </c>
      <c r="H697" t="s">
        <v>428</v>
      </c>
      <c r="I697" t="s">
        <v>956</v>
      </c>
      <c r="J697" t="s">
        <v>42</v>
      </c>
      <c r="K697" t="s">
        <v>42</v>
      </c>
      <c r="L697" t="s">
        <v>42</v>
      </c>
      <c r="M697" s="1" t="s">
        <v>42</v>
      </c>
      <c r="N697" s="39" t="s">
        <v>139</v>
      </c>
      <c r="O697" t="s">
        <v>86</v>
      </c>
      <c r="P697" s="39" t="s">
        <v>1134</v>
      </c>
      <c r="Q697" t="s">
        <v>1131</v>
      </c>
      <c r="R697" t="s">
        <v>1132</v>
      </c>
      <c r="S697" t="s">
        <v>1135</v>
      </c>
      <c r="T697" t="s">
        <v>42</v>
      </c>
      <c r="U697" t="s">
        <v>42</v>
      </c>
      <c r="V697" t="s">
        <v>42</v>
      </c>
      <c r="W697" s="8" t="s">
        <v>64</v>
      </c>
      <c r="X697" t="s">
        <v>42</v>
      </c>
      <c r="Y697" s="8">
        <v>1</v>
      </c>
      <c r="Z697">
        <v>0</v>
      </c>
      <c r="AA697">
        <v>0</v>
      </c>
      <c r="AB697">
        <v>0</v>
      </c>
      <c r="AC697" s="5">
        <v>2022</v>
      </c>
      <c r="AD697" s="1">
        <v>2022</v>
      </c>
      <c r="AE697" s="6" t="s">
        <v>72</v>
      </c>
      <c r="AF697">
        <v>60</v>
      </c>
      <c r="AG697" t="s">
        <v>64</v>
      </c>
      <c r="AH697" s="1" t="s">
        <v>64</v>
      </c>
    </row>
    <row r="698" spans="1:34" s="9" customFormat="1" ht="15" customHeight="1">
      <c r="A698" s="9" t="s">
        <v>1128</v>
      </c>
      <c r="B698" s="9" t="s">
        <v>1129</v>
      </c>
      <c r="C698" s="25">
        <v>3</v>
      </c>
      <c r="D698" s="9" t="s">
        <v>38</v>
      </c>
      <c r="E698" s="9" t="s">
        <v>38</v>
      </c>
      <c r="F698" s="9" t="s">
        <v>39</v>
      </c>
      <c r="G698" s="9" t="s">
        <v>40</v>
      </c>
      <c r="H698" s="9" t="s">
        <v>428</v>
      </c>
      <c r="I698" s="9" t="s">
        <v>956</v>
      </c>
      <c r="J698" s="9" t="s">
        <v>42</v>
      </c>
      <c r="K698" s="9" t="s">
        <v>42</v>
      </c>
      <c r="L698" s="9" t="s">
        <v>42</v>
      </c>
      <c r="M698" s="10" t="s">
        <v>42</v>
      </c>
      <c r="N698" s="39" t="s">
        <v>139</v>
      </c>
      <c r="O698" s="9" t="s">
        <v>86</v>
      </c>
      <c r="P698" s="40" t="s">
        <v>1136</v>
      </c>
      <c r="Q698" s="9" t="s">
        <v>1131</v>
      </c>
      <c r="R698" s="9" t="s">
        <v>1132</v>
      </c>
      <c r="S698" s="9" t="s">
        <v>1137</v>
      </c>
      <c r="T698" s="9" t="s">
        <v>42</v>
      </c>
      <c r="U698" s="9" t="s">
        <v>42</v>
      </c>
      <c r="V698" s="9" t="s">
        <v>42</v>
      </c>
      <c r="W698" s="11" t="s">
        <v>64</v>
      </c>
      <c r="X698" s="9" t="s">
        <v>42</v>
      </c>
      <c r="Y698" s="11">
        <v>1</v>
      </c>
      <c r="Z698" s="9">
        <v>0</v>
      </c>
      <c r="AA698" s="9">
        <v>0</v>
      </c>
      <c r="AB698" s="9">
        <v>0</v>
      </c>
      <c r="AC698" s="12">
        <v>2022</v>
      </c>
      <c r="AD698" s="10">
        <v>2022</v>
      </c>
      <c r="AE698" s="13" t="s">
        <v>72</v>
      </c>
      <c r="AF698" s="9">
        <v>60</v>
      </c>
      <c r="AG698" s="9" t="s">
        <v>64</v>
      </c>
      <c r="AH698" s="10" t="s">
        <v>64</v>
      </c>
    </row>
    <row r="699" spans="1:34" ht="15" customHeight="1">
      <c r="A699" t="s">
        <v>1138</v>
      </c>
      <c r="B699" t="s">
        <v>1122</v>
      </c>
      <c r="C699" s="1">
        <v>1</v>
      </c>
      <c r="D699" t="s">
        <v>426</v>
      </c>
      <c r="E699" t="s">
        <v>426</v>
      </c>
      <c r="F699" t="s">
        <v>39</v>
      </c>
      <c r="G699" t="s">
        <v>40</v>
      </c>
      <c r="H699" t="s">
        <v>455</v>
      </c>
      <c r="I699" t="s">
        <v>444</v>
      </c>
      <c r="J699" t="s">
        <v>42</v>
      </c>
      <c r="K699" t="s">
        <v>42</v>
      </c>
      <c r="L699" t="s">
        <v>42</v>
      </c>
      <c r="M699" s="1" t="s">
        <v>42</v>
      </c>
      <c r="N699" s="39" t="s">
        <v>430</v>
      </c>
      <c r="O699" t="s">
        <v>44</v>
      </c>
      <c r="P699" s="39" t="s">
        <v>436</v>
      </c>
      <c r="Q699" t="s">
        <v>42</v>
      </c>
      <c r="R699" t="s">
        <v>42</v>
      </c>
      <c r="S699" t="s">
        <v>1139</v>
      </c>
      <c r="T699" t="s">
        <v>1140</v>
      </c>
      <c r="U699" t="s">
        <v>1141</v>
      </c>
      <c r="V699" t="s">
        <v>42</v>
      </c>
      <c r="W699" s="8" t="s">
        <v>50</v>
      </c>
      <c r="X699" t="s">
        <v>1142</v>
      </c>
      <c r="Y699" s="8">
        <v>0</v>
      </c>
      <c r="Z699">
        <v>0</v>
      </c>
      <c r="AA699">
        <v>0</v>
      </c>
      <c r="AB699">
        <v>10</v>
      </c>
      <c r="AC699" s="5">
        <v>2003</v>
      </c>
      <c r="AD699" s="1">
        <v>2004</v>
      </c>
      <c r="AE699" s="6" t="s">
        <v>72</v>
      </c>
      <c r="AF699">
        <v>1</v>
      </c>
      <c r="AG699" t="s">
        <v>64</v>
      </c>
      <c r="AH699" s="1" t="s">
        <v>64</v>
      </c>
    </row>
    <row r="700" spans="1:34" ht="15" customHeight="1">
      <c r="A700" t="s">
        <v>1138</v>
      </c>
      <c r="B700" t="s">
        <v>1122</v>
      </c>
      <c r="C700" s="1">
        <v>2</v>
      </c>
      <c r="D700" t="s">
        <v>426</v>
      </c>
      <c r="E700" t="s">
        <v>426</v>
      </c>
      <c r="F700" t="s">
        <v>39</v>
      </c>
      <c r="G700" t="s">
        <v>40</v>
      </c>
      <c r="H700" t="s">
        <v>455</v>
      </c>
      <c r="I700" t="s">
        <v>444</v>
      </c>
      <c r="J700" t="s">
        <v>42</v>
      </c>
      <c r="K700" t="s">
        <v>42</v>
      </c>
      <c r="L700" t="s">
        <v>42</v>
      </c>
      <c r="M700" s="1" t="s">
        <v>42</v>
      </c>
      <c r="N700" s="39" t="s">
        <v>430</v>
      </c>
      <c r="O700" t="s">
        <v>44</v>
      </c>
      <c r="P700" s="39" t="s">
        <v>434</v>
      </c>
      <c r="Q700" t="s">
        <v>42</v>
      </c>
      <c r="R700" t="s">
        <v>42</v>
      </c>
      <c r="S700" t="s">
        <v>1139</v>
      </c>
      <c r="T700" t="s">
        <v>1140</v>
      </c>
      <c r="U700" t="s">
        <v>1141</v>
      </c>
      <c r="V700" t="s">
        <v>42</v>
      </c>
      <c r="W700" s="8" t="s">
        <v>50</v>
      </c>
      <c r="X700" t="s">
        <v>1142</v>
      </c>
      <c r="Y700" s="8">
        <v>0</v>
      </c>
      <c r="Z700">
        <v>0</v>
      </c>
      <c r="AA700">
        <v>0</v>
      </c>
      <c r="AB700">
        <v>10</v>
      </c>
      <c r="AC700" s="5">
        <v>2003</v>
      </c>
      <c r="AD700" s="1">
        <v>2004</v>
      </c>
      <c r="AE700" s="6" t="s">
        <v>72</v>
      </c>
      <c r="AF700">
        <v>1</v>
      </c>
      <c r="AG700" t="s">
        <v>64</v>
      </c>
      <c r="AH700" s="1" t="s">
        <v>64</v>
      </c>
    </row>
    <row r="701" spans="1:34" ht="15" customHeight="1">
      <c r="A701" t="s">
        <v>1138</v>
      </c>
      <c r="B701" t="s">
        <v>1122</v>
      </c>
      <c r="C701" s="1">
        <v>3</v>
      </c>
      <c r="D701" t="s">
        <v>426</v>
      </c>
      <c r="E701" t="s">
        <v>426</v>
      </c>
      <c r="F701" t="s">
        <v>39</v>
      </c>
      <c r="G701" t="s">
        <v>40</v>
      </c>
      <c r="H701" t="s">
        <v>455</v>
      </c>
      <c r="I701" t="s">
        <v>444</v>
      </c>
      <c r="J701" t="s">
        <v>42</v>
      </c>
      <c r="K701" t="s">
        <v>42</v>
      </c>
      <c r="L701" t="s">
        <v>42</v>
      </c>
      <c r="M701" s="1" t="s">
        <v>42</v>
      </c>
      <c r="N701" s="39" t="s">
        <v>430</v>
      </c>
      <c r="O701" t="s">
        <v>44</v>
      </c>
      <c r="P701" s="39" t="s">
        <v>456</v>
      </c>
      <c r="Q701" t="s">
        <v>42</v>
      </c>
      <c r="R701" t="s">
        <v>42</v>
      </c>
      <c r="S701" t="s">
        <v>1139</v>
      </c>
      <c r="T701" t="s">
        <v>1140</v>
      </c>
      <c r="U701" t="s">
        <v>1141</v>
      </c>
      <c r="V701" t="s">
        <v>42</v>
      </c>
      <c r="W701" s="8" t="s">
        <v>50</v>
      </c>
      <c r="X701" t="s">
        <v>1142</v>
      </c>
      <c r="Y701" s="8">
        <v>0</v>
      </c>
      <c r="Z701">
        <v>0</v>
      </c>
      <c r="AA701">
        <v>0</v>
      </c>
      <c r="AB701">
        <v>10</v>
      </c>
      <c r="AC701" s="5">
        <v>2003</v>
      </c>
      <c r="AD701" s="1">
        <v>2004</v>
      </c>
      <c r="AE701" s="6" t="s">
        <v>72</v>
      </c>
      <c r="AF701">
        <v>1</v>
      </c>
      <c r="AG701" t="s">
        <v>64</v>
      </c>
      <c r="AH701" s="1" t="s">
        <v>64</v>
      </c>
    </row>
    <row r="702" spans="1:34" ht="15" customHeight="1">
      <c r="A702" t="s">
        <v>1138</v>
      </c>
      <c r="B702" t="s">
        <v>1122</v>
      </c>
      <c r="C702" s="1">
        <v>4</v>
      </c>
      <c r="D702" t="s">
        <v>426</v>
      </c>
      <c r="E702" t="s">
        <v>426</v>
      </c>
      <c r="F702" t="s">
        <v>39</v>
      </c>
      <c r="G702" t="s">
        <v>40</v>
      </c>
      <c r="H702" t="s">
        <v>455</v>
      </c>
      <c r="I702" t="s">
        <v>444</v>
      </c>
      <c r="J702" t="s">
        <v>42</v>
      </c>
      <c r="K702" t="s">
        <v>42</v>
      </c>
      <c r="L702" t="s">
        <v>42</v>
      </c>
      <c r="M702" s="1" t="s">
        <v>42</v>
      </c>
      <c r="N702" s="39" t="s">
        <v>430</v>
      </c>
      <c r="O702" t="s">
        <v>44</v>
      </c>
      <c r="P702" s="39" t="s">
        <v>435</v>
      </c>
      <c r="Q702" t="s">
        <v>42</v>
      </c>
      <c r="R702" t="s">
        <v>42</v>
      </c>
      <c r="S702" t="s">
        <v>1139</v>
      </c>
      <c r="T702" t="s">
        <v>1140</v>
      </c>
      <c r="U702" t="s">
        <v>1141</v>
      </c>
      <c r="V702" t="s">
        <v>42</v>
      </c>
      <c r="W702" s="8" t="s">
        <v>50</v>
      </c>
      <c r="X702" t="s">
        <v>1142</v>
      </c>
      <c r="Y702" s="8">
        <v>0</v>
      </c>
      <c r="Z702">
        <v>0</v>
      </c>
      <c r="AA702">
        <v>0</v>
      </c>
      <c r="AB702">
        <v>10</v>
      </c>
      <c r="AC702" s="5">
        <v>2003</v>
      </c>
      <c r="AD702" s="1">
        <v>2004</v>
      </c>
      <c r="AE702" s="6" t="s">
        <v>72</v>
      </c>
      <c r="AF702">
        <v>1</v>
      </c>
      <c r="AG702" t="s">
        <v>64</v>
      </c>
      <c r="AH702" s="1" t="s">
        <v>64</v>
      </c>
    </row>
    <row r="703" spans="1:34" s="9" customFormat="1" ht="15" customHeight="1">
      <c r="A703" s="9" t="s">
        <v>1138</v>
      </c>
      <c r="B703" s="9" t="s">
        <v>1122</v>
      </c>
      <c r="C703" s="10">
        <v>5</v>
      </c>
      <c r="D703" s="9" t="s">
        <v>426</v>
      </c>
      <c r="E703" s="9" t="s">
        <v>426</v>
      </c>
      <c r="F703" s="9" t="s">
        <v>39</v>
      </c>
      <c r="G703" s="9" t="s">
        <v>40</v>
      </c>
      <c r="H703" s="9" t="s">
        <v>455</v>
      </c>
      <c r="I703" s="9" t="s">
        <v>444</v>
      </c>
      <c r="J703" s="9" t="s">
        <v>42</v>
      </c>
      <c r="K703" s="9" t="s">
        <v>42</v>
      </c>
      <c r="L703" s="9" t="s">
        <v>42</v>
      </c>
      <c r="M703" s="10" t="s">
        <v>42</v>
      </c>
      <c r="N703" s="40" t="s">
        <v>430</v>
      </c>
      <c r="O703" s="9" t="s">
        <v>44</v>
      </c>
      <c r="P703" s="39" t="s">
        <v>493</v>
      </c>
      <c r="Q703" s="9" t="s">
        <v>42</v>
      </c>
      <c r="R703" s="9" t="s">
        <v>42</v>
      </c>
      <c r="S703" s="9" t="s">
        <v>1139</v>
      </c>
      <c r="T703" s="9" t="s">
        <v>1140</v>
      </c>
      <c r="U703" s="9" t="s">
        <v>1141</v>
      </c>
      <c r="V703" s="9" t="s">
        <v>42</v>
      </c>
      <c r="W703" s="11" t="s">
        <v>50</v>
      </c>
      <c r="X703" s="9" t="s">
        <v>1142</v>
      </c>
      <c r="Y703" s="11">
        <v>0</v>
      </c>
      <c r="Z703" s="9">
        <v>0</v>
      </c>
      <c r="AA703" s="9">
        <v>0</v>
      </c>
      <c r="AB703" s="9">
        <v>10</v>
      </c>
      <c r="AC703" s="12">
        <v>2003</v>
      </c>
      <c r="AD703" s="10">
        <v>2004</v>
      </c>
      <c r="AE703" s="13" t="s">
        <v>72</v>
      </c>
      <c r="AF703" s="9">
        <v>1</v>
      </c>
      <c r="AG703" s="9" t="s">
        <v>64</v>
      </c>
      <c r="AH703" s="10" t="s">
        <v>64</v>
      </c>
    </row>
    <row r="704" spans="1:34" ht="15" customHeight="1">
      <c r="A704" t="s">
        <v>1143</v>
      </c>
      <c r="B704" t="s">
        <v>1144</v>
      </c>
      <c r="C704" s="1">
        <v>1</v>
      </c>
      <c r="D704" t="s">
        <v>426</v>
      </c>
      <c r="E704" t="s">
        <v>426</v>
      </c>
      <c r="F704" t="s">
        <v>123</v>
      </c>
      <c r="G704" t="s">
        <v>184</v>
      </c>
      <c r="H704" t="s">
        <v>467</v>
      </c>
      <c r="I704" t="s">
        <v>427</v>
      </c>
      <c r="J704" t="s">
        <v>42</v>
      </c>
      <c r="K704" t="s">
        <v>353</v>
      </c>
      <c r="L704" t="s">
        <v>429</v>
      </c>
      <c r="M704" s="1" t="s">
        <v>42</v>
      </c>
      <c r="N704" s="39" t="s">
        <v>430</v>
      </c>
      <c r="O704" t="s">
        <v>187</v>
      </c>
      <c r="P704" s="39" t="s">
        <v>456</v>
      </c>
      <c r="Q704" t="s">
        <v>42</v>
      </c>
      <c r="R704" t="s">
        <v>42</v>
      </c>
      <c r="S704" t="s">
        <v>42</v>
      </c>
      <c r="T704" t="s">
        <v>42</v>
      </c>
      <c r="U704" t="s">
        <v>1145</v>
      </c>
      <c r="V704" t="s">
        <v>1146</v>
      </c>
      <c r="W704" s="8" t="s">
        <v>64</v>
      </c>
      <c r="X704" t="s">
        <v>42</v>
      </c>
      <c r="Y704" s="8">
        <v>1</v>
      </c>
      <c r="Z704">
        <v>0</v>
      </c>
      <c r="AA704">
        <v>0</v>
      </c>
      <c r="AB704">
        <v>0</v>
      </c>
      <c r="AC704" s="5">
        <v>2006</v>
      </c>
      <c r="AD704" s="1">
        <v>2006</v>
      </c>
      <c r="AE704" s="6" t="s">
        <v>72</v>
      </c>
      <c r="AF704">
        <v>1</v>
      </c>
      <c r="AG704" t="s">
        <v>64</v>
      </c>
      <c r="AH704" s="1" t="s">
        <v>64</v>
      </c>
    </row>
    <row r="705" spans="1:34" ht="15" customHeight="1">
      <c r="A705" t="s">
        <v>1143</v>
      </c>
      <c r="B705" t="s">
        <v>1144</v>
      </c>
      <c r="C705" s="1">
        <v>2</v>
      </c>
      <c r="D705" t="s">
        <v>426</v>
      </c>
      <c r="E705" t="s">
        <v>426</v>
      </c>
      <c r="F705" t="s">
        <v>123</v>
      </c>
      <c r="G705" t="s">
        <v>184</v>
      </c>
      <c r="H705" t="s">
        <v>467</v>
      </c>
      <c r="I705" t="s">
        <v>427</v>
      </c>
      <c r="J705" t="s">
        <v>42</v>
      </c>
      <c r="K705" t="s">
        <v>353</v>
      </c>
      <c r="L705" t="s">
        <v>429</v>
      </c>
      <c r="M705" s="1" t="s">
        <v>42</v>
      </c>
      <c r="N705" s="39" t="s">
        <v>430</v>
      </c>
      <c r="O705" t="s">
        <v>187</v>
      </c>
      <c r="P705" s="39" t="s">
        <v>431</v>
      </c>
      <c r="Q705" t="s">
        <v>42</v>
      </c>
      <c r="R705" t="s">
        <v>42</v>
      </c>
      <c r="S705" t="s">
        <v>42</v>
      </c>
      <c r="T705" t="s">
        <v>42</v>
      </c>
      <c r="U705" t="s">
        <v>1145</v>
      </c>
      <c r="V705" t="s">
        <v>1146</v>
      </c>
      <c r="W705" s="8" t="s">
        <v>64</v>
      </c>
      <c r="X705" t="s">
        <v>42</v>
      </c>
      <c r="Y705" s="8">
        <v>1</v>
      </c>
      <c r="Z705">
        <v>0</v>
      </c>
      <c r="AA705">
        <v>0</v>
      </c>
      <c r="AB705">
        <v>0</v>
      </c>
      <c r="AC705" s="5">
        <v>2006</v>
      </c>
      <c r="AD705" s="1">
        <v>2006</v>
      </c>
      <c r="AE705" s="6" t="s">
        <v>72</v>
      </c>
      <c r="AF705">
        <v>1</v>
      </c>
      <c r="AG705" t="s">
        <v>64</v>
      </c>
      <c r="AH705" s="1" t="s">
        <v>64</v>
      </c>
    </row>
    <row r="706" spans="1:34" ht="15" customHeight="1">
      <c r="A706" t="s">
        <v>1143</v>
      </c>
      <c r="B706" t="s">
        <v>1144</v>
      </c>
      <c r="C706" s="1">
        <v>3</v>
      </c>
      <c r="D706" t="s">
        <v>426</v>
      </c>
      <c r="E706" t="s">
        <v>426</v>
      </c>
      <c r="F706" t="s">
        <v>123</v>
      </c>
      <c r="G706" t="s">
        <v>184</v>
      </c>
      <c r="H706" t="s">
        <v>467</v>
      </c>
      <c r="I706" t="s">
        <v>427</v>
      </c>
      <c r="J706" t="s">
        <v>42</v>
      </c>
      <c r="K706" t="s">
        <v>353</v>
      </c>
      <c r="L706" t="s">
        <v>429</v>
      </c>
      <c r="M706" s="1" t="s">
        <v>42</v>
      </c>
      <c r="N706" s="39" t="s">
        <v>430</v>
      </c>
      <c r="O706" t="s">
        <v>187</v>
      </c>
      <c r="P706" s="39" t="s">
        <v>435</v>
      </c>
      <c r="Q706" t="s">
        <v>42</v>
      </c>
      <c r="R706" t="s">
        <v>42</v>
      </c>
      <c r="S706" t="s">
        <v>42</v>
      </c>
      <c r="T706" t="s">
        <v>42</v>
      </c>
      <c r="U706" t="s">
        <v>1145</v>
      </c>
      <c r="V706" t="s">
        <v>1146</v>
      </c>
      <c r="W706" s="8" t="s">
        <v>64</v>
      </c>
      <c r="X706" t="s">
        <v>42</v>
      </c>
      <c r="Y706" s="8">
        <v>1</v>
      </c>
      <c r="Z706">
        <v>0</v>
      </c>
      <c r="AA706">
        <v>0</v>
      </c>
      <c r="AB706">
        <v>0</v>
      </c>
      <c r="AC706" s="5">
        <v>2006</v>
      </c>
      <c r="AD706" s="1">
        <v>2006</v>
      </c>
      <c r="AE706" s="6" t="s">
        <v>72</v>
      </c>
      <c r="AF706">
        <v>1</v>
      </c>
      <c r="AG706" t="s">
        <v>64</v>
      </c>
      <c r="AH706" s="1" t="s">
        <v>64</v>
      </c>
    </row>
    <row r="707" spans="1:34" ht="15" customHeight="1">
      <c r="A707" t="s">
        <v>1143</v>
      </c>
      <c r="B707" t="s">
        <v>1144</v>
      </c>
      <c r="C707" s="1">
        <v>4</v>
      </c>
      <c r="D707" t="s">
        <v>426</v>
      </c>
      <c r="E707" t="s">
        <v>426</v>
      </c>
      <c r="F707" t="s">
        <v>123</v>
      </c>
      <c r="G707" t="s">
        <v>184</v>
      </c>
      <c r="H707" t="s">
        <v>467</v>
      </c>
      <c r="I707" t="s">
        <v>427</v>
      </c>
      <c r="J707" t="s">
        <v>42</v>
      </c>
      <c r="K707" t="s">
        <v>353</v>
      </c>
      <c r="L707" t="s">
        <v>429</v>
      </c>
      <c r="M707" s="1" t="s">
        <v>42</v>
      </c>
      <c r="N707" s="39" t="s">
        <v>430</v>
      </c>
      <c r="O707" t="s">
        <v>187</v>
      </c>
      <c r="P707" s="39" t="s">
        <v>434</v>
      </c>
      <c r="Q707" t="s">
        <v>42</v>
      </c>
      <c r="R707" t="s">
        <v>42</v>
      </c>
      <c r="S707" t="s">
        <v>42</v>
      </c>
      <c r="T707" t="s">
        <v>42</v>
      </c>
      <c r="U707" t="s">
        <v>1145</v>
      </c>
      <c r="V707" t="s">
        <v>1146</v>
      </c>
      <c r="W707" s="8" t="s">
        <v>64</v>
      </c>
      <c r="X707" t="s">
        <v>42</v>
      </c>
      <c r="Y707" s="8">
        <v>1</v>
      </c>
      <c r="Z707">
        <v>0</v>
      </c>
      <c r="AA707">
        <v>0</v>
      </c>
      <c r="AB707">
        <v>0</v>
      </c>
      <c r="AC707" s="5">
        <v>2006</v>
      </c>
      <c r="AD707" s="1">
        <v>2006</v>
      </c>
      <c r="AE707" s="6" t="s">
        <v>72</v>
      </c>
      <c r="AF707">
        <v>1</v>
      </c>
      <c r="AG707" t="s">
        <v>64</v>
      </c>
      <c r="AH707" s="1" t="s">
        <v>64</v>
      </c>
    </row>
    <row r="708" spans="1:34" ht="15" customHeight="1">
      <c r="A708" t="s">
        <v>1143</v>
      </c>
      <c r="B708" t="s">
        <v>1144</v>
      </c>
      <c r="C708" s="1">
        <v>5</v>
      </c>
      <c r="D708" t="s">
        <v>426</v>
      </c>
      <c r="E708" t="s">
        <v>426</v>
      </c>
      <c r="F708" t="s">
        <v>123</v>
      </c>
      <c r="G708" t="s">
        <v>184</v>
      </c>
      <c r="H708" t="s">
        <v>467</v>
      </c>
      <c r="I708" t="s">
        <v>427</v>
      </c>
      <c r="J708" t="s">
        <v>42</v>
      </c>
      <c r="K708" t="s">
        <v>353</v>
      </c>
      <c r="L708" t="s">
        <v>429</v>
      </c>
      <c r="M708" s="1" t="s">
        <v>42</v>
      </c>
      <c r="N708" s="39" t="s">
        <v>430</v>
      </c>
      <c r="O708" t="s">
        <v>187</v>
      </c>
      <c r="P708" s="39" t="s">
        <v>459</v>
      </c>
      <c r="Q708" t="s">
        <v>42</v>
      </c>
      <c r="R708" t="s">
        <v>42</v>
      </c>
      <c r="S708" t="s">
        <v>42</v>
      </c>
      <c r="T708" t="s">
        <v>42</v>
      </c>
      <c r="U708" t="s">
        <v>1145</v>
      </c>
      <c r="V708" t="s">
        <v>1146</v>
      </c>
      <c r="W708" s="8" t="s">
        <v>64</v>
      </c>
      <c r="X708" t="s">
        <v>42</v>
      </c>
      <c r="Y708" s="8">
        <v>1</v>
      </c>
      <c r="Z708">
        <v>0</v>
      </c>
      <c r="AA708">
        <v>0</v>
      </c>
      <c r="AB708">
        <v>0</v>
      </c>
      <c r="AC708" s="5">
        <v>2006</v>
      </c>
      <c r="AD708" s="1">
        <v>2006</v>
      </c>
      <c r="AE708" s="6" t="s">
        <v>72</v>
      </c>
      <c r="AF708">
        <v>1</v>
      </c>
      <c r="AG708" t="s">
        <v>64</v>
      </c>
      <c r="AH708" s="1" t="s">
        <v>64</v>
      </c>
    </row>
    <row r="709" spans="1:34" s="9" customFormat="1" ht="15" customHeight="1">
      <c r="A709" s="9" t="s">
        <v>1143</v>
      </c>
      <c r="B709" s="9" t="s">
        <v>1144</v>
      </c>
      <c r="C709" s="10">
        <v>6</v>
      </c>
      <c r="D709" s="9" t="s">
        <v>426</v>
      </c>
      <c r="E709" s="9" t="s">
        <v>426</v>
      </c>
      <c r="F709" s="9" t="s">
        <v>123</v>
      </c>
      <c r="G709" s="9" t="s">
        <v>184</v>
      </c>
      <c r="H709" s="9" t="s">
        <v>467</v>
      </c>
      <c r="I709" s="9" t="s">
        <v>427</v>
      </c>
      <c r="J709" s="9" t="s">
        <v>42</v>
      </c>
      <c r="K709" s="9" t="s">
        <v>353</v>
      </c>
      <c r="L709" s="9" t="s">
        <v>429</v>
      </c>
      <c r="M709" s="10" t="s">
        <v>42</v>
      </c>
      <c r="N709" s="40" t="s">
        <v>430</v>
      </c>
      <c r="O709" s="9" t="s">
        <v>187</v>
      </c>
      <c r="P709" s="40" t="s">
        <v>436</v>
      </c>
      <c r="Q709" s="9" t="s">
        <v>42</v>
      </c>
      <c r="R709" s="9" t="s">
        <v>42</v>
      </c>
      <c r="S709" s="9" t="s">
        <v>42</v>
      </c>
      <c r="T709" s="9" t="s">
        <v>42</v>
      </c>
      <c r="U709" s="9" t="s">
        <v>1145</v>
      </c>
      <c r="V709" s="9" t="s">
        <v>1146</v>
      </c>
      <c r="W709" s="11" t="s">
        <v>64</v>
      </c>
      <c r="X709" s="9" t="s">
        <v>42</v>
      </c>
      <c r="Y709" s="11">
        <v>1</v>
      </c>
      <c r="Z709" s="9">
        <v>0</v>
      </c>
      <c r="AA709" s="9">
        <v>0</v>
      </c>
      <c r="AB709" s="9">
        <v>0</v>
      </c>
      <c r="AC709" s="12">
        <v>2006</v>
      </c>
      <c r="AD709" s="10">
        <v>2006</v>
      </c>
      <c r="AE709" s="13" t="s">
        <v>72</v>
      </c>
      <c r="AF709" s="9">
        <v>1</v>
      </c>
      <c r="AG709" s="9" t="s">
        <v>64</v>
      </c>
      <c r="AH709" s="10" t="s">
        <v>64</v>
      </c>
    </row>
    <row r="710" spans="1:34" ht="15" customHeight="1">
      <c r="A710" t="s">
        <v>1147</v>
      </c>
      <c r="B710" t="s">
        <v>1148</v>
      </c>
      <c r="C710" s="1">
        <v>1</v>
      </c>
      <c r="D710" t="s">
        <v>38</v>
      </c>
      <c r="E710" t="s">
        <v>38</v>
      </c>
      <c r="F710" t="s">
        <v>39</v>
      </c>
      <c r="G710" t="s">
        <v>40</v>
      </c>
      <c r="H710" t="s">
        <v>91</v>
      </c>
      <c r="I710" t="s">
        <v>92</v>
      </c>
      <c r="J710" t="s">
        <v>42</v>
      </c>
      <c r="K710" t="s">
        <v>42</v>
      </c>
      <c r="L710" t="s">
        <v>42</v>
      </c>
      <c r="M710" s="1" t="s">
        <v>42</v>
      </c>
      <c r="N710" s="39" t="s">
        <v>132</v>
      </c>
      <c r="O710" t="s">
        <v>86</v>
      </c>
      <c r="P710" s="39" t="s">
        <v>132</v>
      </c>
      <c r="Q710" t="s">
        <v>1149</v>
      </c>
      <c r="R710" t="s">
        <v>42</v>
      </c>
      <c r="S710" t="s">
        <v>69</v>
      </c>
      <c r="T710" t="s">
        <v>42</v>
      </c>
      <c r="U710" t="s">
        <v>42</v>
      </c>
      <c r="V710" t="s">
        <v>42</v>
      </c>
      <c r="W710" s="8" t="s">
        <v>64</v>
      </c>
      <c r="X710" t="s">
        <v>42</v>
      </c>
      <c r="Y710" s="8">
        <v>1</v>
      </c>
      <c r="Z710">
        <v>1</v>
      </c>
      <c r="AA710">
        <v>0</v>
      </c>
      <c r="AB710">
        <v>0</v>
      </c>
      <c r="AC710" s="5">
        <v>2018</v>
      </c>
      <c r="AD710" s="1">
        <v>2018</v>
      </c>
      <c r="AE710" s="6" t="s">
        <v>72</v>
      </c>
      <c r="AF710">
        <v>1</v>
      </c>
      <c r="AG710" t="s">
        <v>64</v>
      </c>
      <c r="AH710" s="1" t="s">
        <v>64</v>
      </c>
    </row>
    <row r="711" spans="1:34" ht="15" customHeight="1">
      <c r="A711" t="s">
        <v>1147</v>
      </c>
      <c r="B711" t="s">
        <v>1148</v>
      </c>
      <c r="C711" s="1">
        <v>2</v>
      </c>
      <c r="D711" t="s">
        <v>38</v>
      </c>
      <c r="E711" t="s">
        <v>38</v>
      </c>
      <c r="F711" t="s">
        <v>39</v>
      </c>
      <c r="G711" t="s">
        <v>40</v>
      </c>
      <c r="H711" t="s">
        <v>91</v>
      </c>
      <c r="I711" t="s">
        <v>92</v>
      </c>
      <c r="J711" t="s">
        <v>42</v>
      </c>
      <c r="K711" t="s">
        <v>42</v>
      </c>
      <c r="L711" t="s">
        <v>42</v>
      </c>
      <c r="M711" s="1" t="s">
        <v>42</v>
      </c>
      <c r="N711" s="39" t="s">
        <v>79</v>
      </c>
      <c r="O711" t="s">
        <v>86</v>
      </c>
      <c r="P711" s="39" t="s">
        <v>201</v>
      </c>
      <c r="Q711" t="s">
        <v>1149</v>
      </c>
      <c r="R711" t="s">
        <v>42</v>
      </c>
      <c r="S711" t="s">
        <v>202</v>
      </c>
      <c r="T711" t="s">
        <v>42</v>
      </c>
      <c r="U711" t="s">
        <v>42</v>
      </c>
      <c r="V711" t="s">
        <v>42</v>
      </c>
      <c r="W711" s="8" t="s">
        <v>64</v>
      </c>
      <c r="X711" t="s">
        <v>42</v>
      </c>
      <c r="Y711" s="8">
        <v>1</v>
      </c>
      <c r="Z711">
        <v>1</v>
      </c>
      <c r="AA711">
        <v>0</v>
      </c>
      <c r="AB711">
        <v>0</v>
      </c>
      <c r="AC711" s="5">
        <v>2018</v>
      </c>
      <c r="AD711" s="1">
        <v>2018</v>
      </c>
      <c r="AE711" s="6" t="s">
        <v>72</v>
      </c>
      <c r="AF711">
        <v>1</v>
      </c>
      <c r="AG711" t="s">
        <v>64</v>
      </c>
      <c r="AH711" s="1" t="s">
        <v>64</v>
      </c>
    </row>
    <row r="712" spans="1:34" ht="15" customHeight="1">
      <c r="A712" t="s">
        <v>1147</v>
      </c>
      <c r="B712" t="s">
        <v>1148</v>
      </c>
      <c r="C712" s="1">
        <v>3</v>
      </c>
      <c r="D712" t="s">
        <v>38</v>
      </c>
      <c r="E712" t="s">
        <v>38</v>
      </c>
      <c r="F712" t="s">
        <v>39</v>
      </c>
      <c r="G712" t="s">
        <v>40</v>
      </c>
      <c r="H712" t="s">
        <v>91</v>
      </c>
      <c r="I712" t="s">
        <v>92</v>
      </c>
      <c r="J712" t="s">
        <v>42</v>
      </c>
      <c r="K712" t="s">
        <v>42</v>
      </c>
      <c r="L712" t="s">
        <v>42</v>
      </c>
      <c r="M712" s="1" t="s">
        <v>42</v>
      </c>
      <c r="N712" s="39" t="s">
        <v>269</v>
      </c>
      <c r="O712" t="s">
        <v>44</v>
      </c>
      <c r="P712" s="39" t="s">
        <v>1150</v>
      </c>
      <c r="Q712" t="s">
        <v>1149</v>
      </c>
      <c r="R712" t="s">
        <v>42</v>
      </c>
      <c r="S712" t="s">
        <v>419</v>
      </c>
      <c r="T712" t="s">
        <v>42</v>
      </c>
      <c r="U712" t="s">
        <v>42</v>
      </c>
      <c r="V712" t="s">
        <v>42</v>
      </c>
      <c r="W712" s="8" t="s">
        <v>50</v>
      </c>
      <c r="X712" t="s">
        <v>1151</v>
      </c>
      <c r="Y712" s="8">
        <v>1</v>
      </c>
      <c r="Z712">
        <v>1</v>
      </c>
      <c r="AA712">
        <v>0</v>
      </c>
      <c r="AB712">
        <v>0</v>
      </c>
      <c r="AC712" s="5">
        <v>2018</v>
      </c>
      <c r="AD712" s="1">
        <v>2018</v>
      </c>
      <c r="AE712" s="6" t="s">
        <v>72</v>
      </c>
      <c r="AF712">
        <v>1</v>
      </c>
      <c r="AG712" t="s">
        <v>64</v>
      </c>
      <c r="AH712" s="1" t="s">
        <v>64</v>
      </c>
    </row>
    <row r="713" spans="1:34" ht="15" customHeight="1">
      <c r="A713" t="s">
        <v>1147</v>
      </c>
      <c r="B713" t="s">
        <v>1148</v>
      </c>
      <c r="C713" s="1">
        <v>4</v>
      </c>
      <c r="D713" t="s">
        <v>38</v>
      </c>
      <c r="E713" t="s">
        <v>38</v>
      </c>
      <c r="F713" t="s">
        <v>39</v>
      </c>
      <c r="G713" t="s">
        <v>40</v>
      </c>
      <c r="H713" t="s">
        <v>91</v>
      </c>
      <c r="I713" t="s">
        <v>92</v>
      </c>
      <c r="J713" t="s">
        <v>42</v>
      </c>
      <c r="K713" t="s">
        <v>42</v>
      </c>
      <c r="L713" t="s">
        <v>42</v>
      </c>
      <c r="M713" s="1" t="s">
        <v>42</v>
      </c>
      <c r="N713" s="39" t="s">
        <v>269</v>
      </c>
      <c r="O713" t="s">
        <v>44</v>
      </c>
      <c r="P713" s="39" t="s">
        <v>1150</v>
      </c>
      <c r="Q713" t="s">
        <v>1149</v>
      </c>
      <c r="R713" t="s">
        <v>42</v>
      </c>
      <c r="S713" t="s">
        <v>1152</v>
      </c>
      <c r="T713" t="s">
        <v>42</v>
      </c>
      <c r="U713" t="s">
        <v>42</v>
      </c>
      <c r="V713" t="s">
        <v>42</v>
      </c>
      <c r="W713" s="8" t="s">
        <v>50</v>
      </c>
      <c r="X713" t="s">
        <v>1151</v>
      </c>
      <c r="Y713" s="8">
        <v>1</v>
      </c>
      <c r="Z713">
        <v>1</v>
      </c>
      <c r="AA713">
        <v>0</v>
      </c>
      <c r="AB713">
        <v>0</v>
      </c>
      <c r="AC713" s="5">
        <v>2018</v>
      </c>
      <c r="AD713" s="1">
        <v>2018</v>
      </c>
      <c r="AE713" s="6" t="s">
        <v>72</v>
      </c>
      <c r="AF713">
        <v>1</v>
      </c>
      <c r="AG713" t="s">
        <v>64</v>
      </c>
      <c r="AH713" s="1" t="s">
        <v>64</v>
      </c>
    </row>
    <row r="714" spans="1:34" ht="15" customHeight="1">
      <c r="A714" t="s">
        <v>1147</v>
      </c>
      <c r="B714" t="s">
        <v>1148</v>
      </c>
      <c r="C714" s="1">
        <v>5</v>
      </c>
      <c r="D714" t="s">
        <v>38</v>
      </c>
      <c r="E714" t="s">
        <v>38</v>
      </c>
      <c r="F714" t="s">
        <v>39</v>
      </c>
      <c r="G714" t="s">
        <v>40</v>
      </c>
      <c r="H714" t="s">
        <v>91</v>
      </c>
      <c r="I714" t="s">
        <v>92</v>
      </c>
      <c r="J714" t="s">
        <v>42</v>
      </c>
      <c r="K714" t="s">
        <v>42</v>
      </c>
      <c r="L714" t="s">
        <v>42</v>
      </c>
      <c r="M714" s="1" t="s">
        <v>42</v>
      </c>
      <c r="N714" s="39" t="s">
        <v>269</v>
      </c>
      <c r="O714" t="s">
        <v>44</v>
      </c>
      <c r="P714" s="39" t="s">
        <v>1153</v>
      </c>
      <c r="Q714" t="s">
        <v>1149</v>
      </c>
      <c r="R714" t="s">
        <v>42</v>
      </c>
      <c r="S714" t="s">
        <v>1154</v>
      </c>
      <c r="T714" t="s">
        <v>42</v>
      </c>
      <c r="U714" t="s">
        <v>42</v>
      </c>
      <c r="V714" t="s">
        <v>42</v>
      </c>
      <c r="W714" s="8" t="s">
        <v>50</v>
      </c>
      <c r="X714" t="s">
        <v>572</v>
      </c>
      <c r="Y714" s="8">
        <v>1</v>
      </c>
      <c r="Z714">
        <v>1</v>
      </c>
      <c r="AA714">
        <v>0</v>
      </c>
      <c r="AB714">
        <v>0</v>
      </c>
      <c r="AC714" s="5">
        <v>2018</v>
      </c>
      <c r="AD714" s="1">
        <v>2018</v>
      </c>
      <c r="AE714" s="6" t="s">
        <v>72</v>
      </c>
      <c r="AF714">
        <v>1</v>
      </c>
      <c r="AG714" t="s">
        <v>64</v>
      </c>
      <c r="AH714" s="1" t="s">
        <v>64</v>
      </c>
    </row>
    <row r="715" spans="1:34" s="9" customFormat="1" ht="15" customHeight="1">
      <c r="A715" s="9" t="s">
        <v>1147</v>
      </c>
      <c r="B715" s="9" t="s">
        <v>1148</v>
      </c>
      <c r="C715" s="10">
        <v>6</v>
      </c>
      <c r="D715" s="9" t="s">
        <v>38</v>
      </c>
      <c r="E715" s="9" t="s">
        <v>38</v>
      </c>
      <c r="F715" s="9" t="s">
        <v>39</v>
      </c>
      <c r="G715" t="s">
        <v>40</v>
      </c>
      <c r="H715" s="9" t="s">
        <v>91</v>
      </c>
      <c r="I715" s="9" t="s">
        <v>92</v>
      </c>
      <c r="J715" s="9" t="s">
        <v>42</v>
      </c>
      <c r="K715" s="9" t="s">
        <v>42</v>
      </c>
      <c r="L715" s="9" t="s">
        <v>42</v>
      </c>
      <c r="M715" s="10" t="s">
        <v>42</v>
      </c>
      <c r="N715" s="40" t="s">
        <v>269</v>
      </c>
      <c r="O715" s="9" t="s">
        <v>44</v>
      </c>
      <c r="P715" s="40" t="s">
        <v>1155</v>
      </c>
      <c r="Q715" s="9" t="s">
        <v>1149</v>
      </c>
      <c r="R715" s="9" t="s">
        <v>42</v>
      </c>
      <c r="S715" s="9" t="s">
        <v>1156</v>
      </c>
      <c r="T715" s="9" t="s">
        <v>1157</v>
      </c>
      <c r="U715" s="9" t="s">
        <v>42</v>
      </c>
      <c r="V715" s="9" t="s">
        <v>42</v>
      </c>
      <c r="W715" s="11" t="s">
        <v>50</v>
      </c>
      <c r="X715" s="9" t="s">
        <v>1158</v>
      </c>
      <c r="Y715" s="11">
        <v>1</v>
      </c>
      <c r="Z715" s="9">
        <v>1</v>
      </c>
      <c r="AA715" s="9">
        <v>0</v>
      </c>
      <c r="AB715" s="9">
        <v>0</v>
      </c>
      <c r="AC715" s="12">
        <v>2018</v>
      </c>
      <c r="AD715" s="10">
        <v>2018</v>
      </c>
      <c r="AE715" s="13" t="s">
        <v>72</v>
      </c>
      <c r="AF715" s="9">
        <v>1</v>
      </c>
      <c r="AG715" s="9" t="s">
        <v>64</v>
      </c>
      <c r="AH715" s="10" t="s">
        <v>64</v>
      </c>
    </row>
    <row r="716" spans="1:34" ht="15" customHeight="1">
      <c r="A716" t="s">
        <v>1159</v>
      </c>
      <c r="B716" t="s">
        <v>1160</v>
      </c>
      <c r="C716" s="1">
        <v>1</v>
      </c>
      <c r="D716" t="s">
        <v>38</v>
      </c>
      <c r="E716" t="s">
        <v>38</v>
      </c>
      <c r="F716" t="s">
        <v>39</v>
      </c>
      <c r="G716" t="s">
        <v>40</v>
      </c>
      <c r="H716" t="s">
        <v>91</v>
      </c>
      <c r="I716" t="s">
        <v>591</v>
      </c>
      <c r="J716" t="s">
        <v>92</v>
      </c>
      <c r="K716" t="s">
        <v>42</v>
      </c>
      <c r="L716" t="s">
        <v>42</v>
      </c>
      <c r="M716" t="s">
        <v>42</v>
      </c>
      <c r="N716" s="39" t="s">
        <v>132</v>
      </c>
      <c r="O716" t="s">
        <v>44</v>
      </c>
      <c r="P716" s="39" t="s">
        <v>1161</v>
      </c>
      <c r="Q716" t="s">
        <v>108</v>
      </c>
      <c r="R716" t="s">
        <v>109</v>
      </c>
      <c r="S716" t="s">
        <v>1162</v>
      </c>
      <c r="T716" t="s">
        <v>1163</v>
      </c>
      <c r="U716" t="s">
        <v>42</v>
      </c>
      <c r="V716" t="s">
        <v>42</v>
      </c>
      <c r="W716" s="8" t="s">
        <v>50</v>
      </c>
      <c r="X716" t="s">
        <v>1164</v>
      </c>
      <c r="Y716" s="8">
        <v>1</v>
      </c>
      <c r="Z716">
        <v>0</v>
      </c>
      <c r="AA716">
        <v>0</v>
      </c>
      <c r="AB716">
        <v>1</v>
      </c>
      <c r="AC716" s="5">
        <v>1999</v>
      </c>
      <c r="AD716" s="1">
        <v>2001</v>
      </c>
      <c r="AE716" s="6">
        <v>2</v>
      </c>
      <c r="AF716">
        <v>21</v>
      </c>
      <c r="AG716" t="s">
        <v>64</v>
      </c>
      <c r="AH716" t="s">
        <v>64</v>
      </c>
    </row>
    <row r="717" spans="1:34" ht="15" customHeight="1">
      <c r="A717" t="s">
        <v>1159</v>
      </c>
      <c r="B717" t="s">
        <v>1160</v>
      </c>
      <c r="C717" s="1">
        <v>2</v>
      </c>
      <c r="D717" t="s">
        <v>38</v>
      </c>
      <c r="E717" t="s">
        <v>38</v>
      </c>
      <c r="F717" t="s">
        <v>39</v>
      </c>
      <c r="G717" t="s">
        <v>40</v>
      </c>
      <c r="H717" t="s">
        <v>41</v>
      </c>
      <c r="I717" t="s">
        <v>42</v>
      </c>
      <c r="J717" t="s">
        <v>42</v>
      </c>
      <c r="K717" t="s">
        <v>42</v>
      </c>
      <c r="L717" t="s">
        <v>42</v>
      </c>
      <c r="M717" t="s">
        <v>42</v>
      </c>
      <c r="N717" s="39" t="s">
        <v>132</v>
      </c>
      <c r="O717" t="s">
        <v>86</v>
      </c>
      <c r="P717" s="39" t="s">
        <v>132</v>
      </c>
      <c r="Q717" t="s">
        <v>134</v>
      </c>
      <c r="R717" s="2" t="s">
        <v>1165</v>
      </c>
      <c r="S717" t="s">
        <v>1166</v>
      </c>
      <c r="T717" t="s">
        <v>42</v>
      </c>
      <c r="U717" t="s">
        <v>42</v>
      </c>
      <c r="V717" t="s">
        <v>42</v>
      </c>
      <c r="W717" s="8" t="s">
        <v>64</v>
      </c>
      <c r="X717" t="s">
        <v>42</v>
      </c>
      <c r="Y717" s="8">
        <v>1</v>
      </c>
      <c r="Z717">
        <v>0</v>
      </c>
      <c r="AA717">
        <v>0</v>
      </c>
      <c r="AB717">
        <v>1</v>
      </c>
      <c r="AC717" s="5">
        <v>1999</v>
      </c>
      <c r="AD717" s="1">
        <v>2001</v>
      </c>
      <c r="AE717" s="6">
        <v>2</v>
      </c>
      <c r="AF717">
        <v>21</v>
      </c>
      <c r="AG717" t="s">
        <v>64</v>
      </c>
      <c r="AH717" t="s">
        <v>64</v>
      </c>
    </row>
    <row r="718" spans="1:34" s="9" customFormat="1" ht="15" customHeight="1">
      <c r="A718" s="9" t="s">
        <v>1159</v>
      </c>
      <c r="B718" s="9" t="s">
        <v>1160</v>
      </c>
      <c r="C718" s="10">
        <v>3</v>
      </c>
      <c r="D718" s="9" t="s">
        <v>38</v>
      </c>
      <c r="E718" s="9" t="s">
        <v>38</v>
      </c>
      <c r="F718" s="9" t="s">
        <v>39</v>
      </c>
      <c r="G718" s="9" t="s">
        <v>40</v>
      </c>
      <c r="H718" s="9" t="s">
        <v>91</v>
      </c>
      <c r="I718" s="9" t="s">
        <v>591</v>
      </c>
      <c r="J718" s="9" t="s">
        <v>92</v>
      </c>
      <c r="K718" s="9" t="s">
        <v>42</v>
      </c>
      <c r="L718" s="9" t="s">
        <v>42</v>
      </c>
      <c r="M718" s="9" t="s">
        <v>42</v>
      </c>
      <c r="N718" s="40" t="s">
        <v>43</v>
      </c>
      <c r="O718" s="9" t="s">
        <v>44</v>
      </c>
      <c r="P718" s="40" t="s">
        <v>247</v>
      </c>
      <c r="Q718" s="9" t="s">
        <v>108</v>
      </c>
      <c r="R718" s="9" t="s">
        <v>109</v>
      </c>
      <c r="S718" s="9" t="s">
        <v>136</v>
      </c>
      <c r="T718" s="9" t="s">
        <v>42</v>
      </c>
      <c r="U718" s="9" t="s">
        <v>42</v>
      </c>
      <c r="V718" s="9" t="s">
        <v>42</v>
      </c>
      <c r="W718" s="11" t="s">
        <v>50</v>
      </c>
      <c r="X718" s="9" t="s">
        <v>1164</v>
      </c>
      <c r="Y718" s="11">
        <v>1</v>
      </c>
      <c r="Z718" s="9">
        <v>0</v>
      </c>
      <c r="AA718" s="9">
        <v>0</v>
      </c>
      <c r="AB718" s="9">
        <v>1</v>
      </c>
      <c r="AC718" s="12">
        <v>1999</v>
      </c>
      <c r="AD718" s="10">
        <v>2001</v>
      </c>
      <c r="AE718" s="13">
        <v>2</v>
      </c>
      <c r="AF718" s="9">
        <v>2</v>
      </c>
      <c r="AG718" s="9" t="s">
        <v>64</v>
      </c>
      <c r="AH718" s="9" t="s">
        <v>64</v>
      </c>
    </row>
    <row r="719" spans="1:34" s="9" customFormat="1" ht="15" customHeight="1">
      <c r="A719" s="9" t="s">
        <v>1167</v>
      </c>
      <c r="B719" s="9" t="s">
        <v>1168</v>
      </c>
      <c r="C719" s="10">
        <v>1</v>
      </c>
      <c r="D719" s="9" t="s">
        <v>38</v>
      </c>
      <c r="E719" s="9" t="s">
        <v>38</v>
      </c>
      <c r="F719" s="9" t="s">
        <v>39</v>
      </c>
      <c r="G719" s="9" t="s">
        <v>40</v>
      </c>
      <c r="H719" s="9" t="s">
        <v>41</v>
      </c>
      <c r="I719" s="9" t="s">
        <v>42</v>
      </c>
      <c r="J719" s="9" t="s">
        <v>42</v>
      </c>
      <c r="K719" s="9" t="s">
        <v>42</v>
      </c>
      <c r="L719" s="9" t="s">
        <v>42</v>
      </c>
      <c r="M719" s="10" t="s">
        <v>42</v>
      </c>
      <c r="N719" s="40" t="s">
        <v>132</v>
      </c>
      <c r="O719" s="9" t="s">
        <v>86</v>
      </c>
      <c r="P719" s="40" t="s">
        <v>1169</v>
      </c>
      <c r="Q719" s="9" t="s">
        <v>108</v>
      </c>
      <c r="R719" s="9" t="s">
        <v>109</v>
      </c>
      <c r="S719" s="9" t="s">
        <v>1170</v>
      </c>
      <c r="T719" s="9" t="s">
        <v>1171</v>
      </c>
      <c r="U719" s="9" t="s">
        <v>42</v>
      </c>
      <c r="V719" s="9" t="s">
        <v>42</v>
      </c>
      <c r="W719" s="11" t="s">
        <v>64</v>
      </c>
      <c r="X719" s="9" t="s">
        <v>42</v>
      </c>
      <c r="Y719" s="11">
        <v>1</v>
      </c>
      <c r="Z719" s="9">
        <v>0</v>
      </c>
      <c r="AA719" s="9">
        <v>0</v>
      </c>
      <c r="AB719" s="9">
        <v>0</v>
      </c>
      <c r="AC719" s="12">
        <v>1989</v>
      </c>
      <c r="AD719" s="10">
        <v>1997</v>
      </c>
      <c r="AE719" s="13">
        <f>AD719-AC719</f>
        <v>8</v>
      </c>
      <c r="AF719" s="9">
        <v>104</v>
      </c>
      <c r="AG719" s="9" t="s">
        <v>64</v>
      </c>
      <c r="AH719" s="10" t="s">
        <v>64</v>
      </c>
    </row>
    <row r="720" spans="1:34" ht="15" customHeight="1">
      <c r="A720" t="s">
        <v>1172</v>
      </c>
      <c r="B720" t="s">
        <v>915</v>
      </c>
      <c r="C720" s="24">
        <v>1</v>
      </c>
      <c r="D720" t="s">
        <v>502</v>
      </c>
      <c r="E720" t="s">
        <v>426</v>
      </c>
      <c r="F720" t="s">
        <v>123</v>
      </c>
      <c r="G720" t="s">
        <v>184</v>
      </c>
      <c r="H720" t="s">
        <v>444</v>
      </c>
      <c r="I720" t="s">
        <v>427</v>
      </c>
      <c r="J720" t="s">
        <v>42</v>
      </c>
      <c r="K720" t="s">
        <v>992</v>
      </c>
      <c r="L720" t="s">
        <v>42</v>
      </c>
      <c r="M720" s="1" t="s">
        <v>42</v>
      </c>
      <c r="N720" s="39" t="s">
        <v>430</v>
      </c>
      <c r="O720" t="s">
        <v>187</v>
      </c>
      <c r="P720" s="39" t="s">
        <v>435</v>
      </c>
      <c r="Q720" t="s">
        <v>42</v>
      </c>
      <c r="R720" t="s">
        <v>42</v>
      </c>
      <c r="S720" t="s">
        <v>42</v>
      </c>
      <c r="T720" t="s">
        <v>42</v>
      </c>
      <c r="U720" t="s">
        <v>1173</v>
      </c>
      <c r="V720" t="s">
        <v>1174</v>
      </c>
      <c r="W720" s="8" t="s">
        <v>50</v>
      </c>
      <c r="X720" t="s">
        <v>1175</v>
      </c>
      <c r="Y720" s="8">
        <v>0</v>
      </c>
      <c r="Z720">
        <v>0</v>
      </c>
      <c r="AA720">
        <v>0</v>
      </c>
      <c r="AB720">
        <v>3</v>
      </c>
      <c r="AC720" s="5">
        <v>2002</v>
      </c>
      <c r="AD720" s="1">
        <v>2003</v>
      </c>
      <c r="AE720" s="6" t="s">
        <v>72</v>
      </c>
      <c r="AF720">
        <v>1</v>
      </c>
      <c r="AG720" t="s">
        <v>64</v>
      </c>
      <c r="AH720" s="1" t="s">
        <v>64</v>
      </c>
    </row>
    <row r="721" spans="1:34" ht="15" customHeight="1">
      <c r="A721" t="s">
        <v>1172</v>
      </c>
      <c r="B721" t="s">
        <v>915</v>
      </c>
      <c r="C721" s="24">
        <v>2</v>
      </c>
      <c r="D721" t="s">
        <v>502</v>
      </c>
      <c r="E721" t="s">
        <v>426</v>
      </c>
      <c r="F721" t="s">
        <v>123</v>
      </c>
      <c r="G721" t="s">
        <v>184</v>
      </c>
      <c r="H721" t="s">
        <v>444</v>
      </c>
      <c r="I721" t="s">
        <v>427</v>
      </c>
      <c r="J721" t="s">
        <v>42</v>
      </c>
      <c r="K721" t="s">
        <v>992</v>
      </c>
      <c r="L721" t="s">
        <v>42</v>
      </c>
      <c r="M721" s="1" t="s">
        <v>42</v>
      </c>
      <c r="N721" s="39" t="s">
        <v>430</v>
      </c>
      <c r="O721" t="s">
        <v>187</v>
      </c>
      <c r="P721" s="39" t="s">
        <v>493</v>
      </c>
      <c r="Q721" t="s">
        <v>42</v>
      </c>
      <c r="R721" t="s">
        <v>42</v>
      </c>
      <c r="S721" t="s">
        <v>42</v>
      </c>
      <c r="T721" t="s">
        <v>42</v>
      </c>
      <c r="U721" t="s">
        <v>1173</v>
      </c>
      <c r="V721" t="s">
        <v>1174</v>
      </c>
      <c r="W721" s="8" t="s">
        <v>50</v>
      </c>
      <c r="X721" t="s">
        <v>1175</v>
      </c>
      <c r="Y721" s="8">
        <v>0</v>
      </c>
      <c r="Z721">
        <v>0</v>
      </c>
      <c r="AA721">
        <v>0</v>
      </c>
      <c r="AB721">
        <v>3</v>
      </c>
      <c r="AC721" s="5">
        <v>2002</v>
      </c>
      <c r="AD721" s="1">
        <v>2003</v>
      </c>
      <c r="AE721" s="6" t="s">
        <v>72</v>
      </c>
      <c r="AF721">
        <v>1</v>
      </c>
      <c r="AG721" t="s">
        <v>64</v>
      </c>
      <c r="AH721" s="1" t="s">
        <v>64</v>
      </c>
    </row>
    <row r="722" spans="1:34" ht="15" customHeight="1">
      <c r="A722" t="s">
        <v>1172</v>
      </c>
      <c r="B722" t="s">
        <v>915</v>
      </c>
      <c r="C722" s="24">
        <v>3</v>
      </c>
      <c r="D722" t="s">
        <v>502</v>
      </c>
      <c r="E722" t="s">
        <v>426</v>
      </c>
      <c r="F722" t="s">
        <v>123</v>
      </c>
      <c r="G722" t="s">
        <v>184</v>
      </c>
      <c r="H722" t="s">
        <v>444</v>
      </c>
      <c r="I722" t="s">
        <v>427</v>
      </c>
      <c r="J722" t="s">
        <v>42</v>
      </c>
      <c r="K722" t="s">
        <v>992</v>
      </c>
      <c r="L722" t="s">
        <v>42</v>
      </c>
      <c r="M722" s="1" t="s">
        <v>42</v>
      </c>
      <c r="N722" s="39" t="s">
        <v>430</v>
      </c>
      <c r="O722" t="s">
        <v>187</v>
      </c>
      <c r="P722" s="39" t="s">
        <v>459</v>
      </c>
      <c r="Q722" t="s">
        <v>42</v>
      </c>
      <c r="R722" t="s">
        <v>42</v>
      </c>
      <c r="S722" t="s">
        <v>42</v>
      </c>
      <c r="T722" t="s">
        <v>42</v>
      </c>
      <c r="U722" t="s">
        <v>1173</v>
      </c>
      <c r="V722" t="s">
        <v>1174</v>
      </c>
      <c r="W722" s="8" t="s">
        <v>50</v>
      </c>
      <c r="X722" t="s">
        <v>1175</v>
      </c>
      <c r="Y722" s="8">
        <v>0</v>
      </c>
      <c r="Z722">
        <v>0</v>
      </c>
      <c r="AA722">
        <v>0</v>
      </c>
      <c r="AB722">
        <v>3</v>
      </c>
      <c r="AC722" s="5">
        <v>2002</v>
      </c>
      <c r="AD722" s="1">
        <v>2003</v>
      </c>
      <c r="AE722" s="6" t="s">
        <v>72</v>
      </c>
      <c r="AF722">
        <v>1</v>
      </c>
      <c r="AG722" t="s">
        <v>64</v>
      </c>
      <c r="AH722" s="1" t="s">
        <v>64</v>
      </c>
    </row>
    <row r="723" spans="1:34" s="9" customFormat="1" ht="15" customHeight="1">
      <c r="A723" s="9" t="s">
        <v>1172</v>
      </c>
      <c r="B723" s="9" t="s">
        <v>915</v>
      </c>
      <c r="C723" s="25">
        <v>4</v>
      </c>
      <c r="D723" t="s">
        <v>502</v>
      </c>
      <c r="E723" s="9" t="s">
        <v>397</v>
      </c>
      <c r="F723" s="9" t="s">
        <v>123</v>
      </c>
      <c r="G723" s="9" t="s">
        <v>40</v>
      </c>
      <c r="H723" s="9" t="s">
        <v>444</v>
      </c>
      <c r="I723" s="9" t="s">
        <v>427</v>
      </c>
      <c r="J723" s="9" t="s">
        <v>42</v>
      </c>
      <c r="K723" s="9" t="s">
        <v>992</v>
      </c>
      <c r="L723" s="9" t="s">
        <v>42</v>
      </c>
      <c r="M723" s="10" t="s">
        <v>42</v>
      </c>
      <c r="N723" s="40" t="s">
        <v>506</v>
      </c>
      <c r="O723" s="9" t="s">
        <v>86</v>
      </c>
      <c r="P723" s="40" t="s">
        <v>506</v>
      </c>
      <c r="Q723" s="9" t="s">
        <v>42</v>
      </c>
      <c r="R723" s="9" t="s">
        <v>42</v>
      </c>
      <c r="S723" s="9" t="s">
        <v>42</v>
      </c>
      <c r="T723" s="9" t="s">
        <v>42</v>
      </c>
      <c r="U723" s="9" t="s">
        <v>42</v>
      </c>
      <c r="V723" s="9" t="s">
        <v>64</v>
      </c>
      <c r="W723" s="11" t="s">
        <v>64</v>
      </c>
      <c r="X723" s="9" t="s">
        <v>42</v>
      </c>
      <c r="Y723" s="11">
        <v>0</v>
      </c>
      <c r="Z723" s="9">
        <v>0</v>
      </c>
      <c r="AA723" s="9">
        <v>0</v>
      </c>
      <c r="AB723" s="9">
        <v>1</v>
      </c>
      <c r="AC723" s="12">
        <v>2002</v>
      </c>
      <c r="AD723" s="10">
        <v>2003</v>
      </c>
      <c r="AE723" s="13" t="s">
        <v>72</v>
      </c>
      <c r="AF723" s="9">
        <v>2</v>
      </c>
      <c r="AG723" s="9" t="s">
        <v>64</v>
      </c>
      <c r="AH723" s="10" t="s">
        <v>64</v>
      </c>
    </row>
    <row r="724" spans="1:34" ht="15" customHeight="1">
      <c r="A724" t="s">
        <v>1176</v>
      </c>
      <c r="B724" t="s">
        <v>1177</v>
      </c>
      <c r="C724" s="1">
        <v>1</v>
      </c>
      <c r="D724" t="s">
        <v>397</v>
      </c>
      <c r="E724" t="s">
        <v>397</v>
      </c>
      <c r="F724" t="s">
        <v>39</v>
      </c>
      <c r="G724" t="s">
        <v>40</v>
      </c>
      <c r="H724" t="s">
        <v>428</v>
      </c>
      <c r="I724" t="s">
        <v>1178</v>
      </c>
      <c r="J724" t="s">
        <v>42</v>
      </c>
      <c r="K724" t="s">
        <v>42</v>
      </c>
      <c r="L724" t="s">
        <v>42</v>
      </c>
      <c r="M724" s="1" t="s">
        <v>42</v>
      </c>
      <c r="N724" s="39" t="s">
        <v>430</v>
      </c>
      <c r="O724" t="s">
        <v>44</v>
      </c>
      <c r="P724" s="39" t="s">
        <v>436</v>
      </c>
      <c r="Q724" t="s">
        <v>42</v>
      </c>
      <c r="R724" t="s">
        <v>42</v>
      </c>
      <c r="S724" t="s">
        <v>1179</v>
      </c>
      <c r="T724" t="s">
        <v>1180</v>
      </c>
      <c r="U724" t="s">
        <v>1181</v>
      </c>
      <c r="V724" t="s">
        <v>64</v>
      </c>
      <c r="W724" s="8" t="s">
        <v>50</v>
      </c>
      <c r="X724" t="s">
        <v>1182</v>
      </c>
      <c r="Y724" s="8">
        <v>1</v>
      </c>
      <c r="Z724">
        <v>0</v>
      </c>
      <c r="AA724">
        <v>0</v>
      </c>
      <c r="AB724">
        <v>0</v>
      </c>
      <c r="AC724" s="5">
        <v>2010</v>
      </c>
      <c r="AD724" s="1">
        <v>2010</v>
      </c>
      <c r="AE724" s="6" t="s">
        <v>72</v>
      </c>
      <c r="AF724">
        <v>1</v>
      </c>
      <c r="AG724" t="s">
        <v>64</v>
      </c>
      <c r="AH724" s="1" t="s">
        <v>64</v>
      </c>
    </row>
    <row r="725" spans="1:34" ht="15" customHeight="1">
      <c r="A725" t="s">
        <v>1176</v>
      </c>
      <c r="B725" t="s">
        <v>1177</v>
      </c>
      <c r="C725" s="1">
        <v>1</v>
      </c>
      <c r="D725" t="s">
        <v>397</v>
      </c>
      <c r="E725" t="s">
        <v>397</v>
      </c>
      <c r="F725" t="s">
        <v>39</v>
      </c>
      <c r="G725" t="s">
        <v>40</v>
      </c>
      <c r="H725" t="s">
        <v>428</v>
      </c>
      <c r="I725" t="s">
        <v>1178</v>
      </c>
      <c r="J725" t="s">
        <v>42</v>
      </c>
      <c r="K725" t="s">
        <v>42</v>
      </c>
      <c r="L725" t="s">
        <v>42</v>
      </c>
      <c r="M725" s="1" t="s">
        <v>42</v>
      </c>
      <c r="N725" s="39" t="s">
        <v>587</v>
      </c>
      <c r="O725" t="s">
        <v>44</v>
      </c>
      <c r="P725" s="39" t="s">
        <v>1183</v>
      </c>
      <c r="Q725" t="s">
        <v>42</v>
      </c>
      <c r="R725" t="s">
        <v>42</v>
      </c>
      <c r="S725" t="s">
        <v>1184</v>
      </c>
      <c r="T725" t="s">
        <v>1180</v>
      </c>
      <c r="U725" t="s">
        <v>1181</v>
      </c>
      <c r="V725" t="s">
        <v>64</v>
      </c>
      <c r="W725" s="8" t="s">
        <v>50</v>
      </c>
      <c r="X725" t="s">
        <v>1185</v>
      </c>
      <c r="Y725" s="8">
        <v>1</v>
      </c>
      <c r="Z725">
        <v>0</v>
      </c>
      <c r="AA725">
        <v>0</v>
      </c>
      <c r="AB725">
        <v>0</v>
      </c>
      <c r="AC725" s="5">
        <v>2010</v>
      </c>
      <c r="AD725" s="1">
        <v>2010</v>
      </c>
      <c r="AE725" s="6" t="s">
        <v>72</v>
      </c>
      <c r="AF725">
        <v>1</v>
      </c>
      <c r="AG725" t="s">
        <v>64</v>
      </c>
      <c r="AH725" s="1" t="s">
        <v>64</v>
      </c>
    </row>
    <row r="726" spans="1:34" s="9" customFormat="1" ht="15" customHeight="1">
      <c r="A726" s="9" t="s">
        <v>1176</v>
      </c>
      <c r="B726" s="9" t="s">
        <v>1177</v>
      </c>
      <c r="C726" s="10">
        <v>2</v>
      </c>
      <c r="D726" s="9" t="s">
        <v>397</v>
      </c>
      <c r="E726" s="9" t="s">
        <v>397</v>
      </c>
      <c r="F726" s="9" t="s">
        <v>39</v>
      </c>
      <c r="G726" t="s">
        <v>40</v>
      </c>
      <c r="H726" s="9" t="s">
        <v>428</v>
      </c>
      <c r="I726" s="9" t="s">
        <v>1178</v>
      </c>
      <c r="J726" s="9" t="s">
        <v>42</v>
      </c>
      <c r="K726" s="9" t="s">
        <v>42</v>
      </c>
      <c r="L726" s="9" t="s">
        <v>42</v>
      </c>
      <c r="M726" s="10" t="s">
        <v>42</v>
      </c>
      <c r="N726" s="40" t="s">
        <v>430</v>
      </c>
      <c r="O726" s="9" t="s">
        <v>44</v>
      </c>
      <c r="P726" s="40" t="s">
        <v>435</v>
      </c>
      <c r="Q726" s="9" t="s">
        <v>42</v>
      </c>
      <c r="R726" s="9" t="s">
        <v>42</v>
      </c>
      <c r="S726" s="9" t="s">
        <v>1179</v>
      </c>
      <c r="T726" s="9" t="s">
        <v>1180</v>
      </c>
      <c r="U726" s="9" t="s">
        <v>1181</v>
      </c>
      <c r="V726" s="9" t="s">
        <v>64</v>
      </c>
      <c r="W726" s="11" t="s">
        <v>50</v>
      </c>
      <c r="X726" s="9" t="s">
        <v>1182</v>
      </c>
      <c r="Y726" s="11">
        <v>1</v>
      </c>
      <c r="Z726" s="9">
        <v>0</v>
      </c>
      <c r="AA726" s="9">
        <v>0</v>
      </c>
      <c r="AB726" s="9">
        <v>0</v>
      </c>
      <c r="AC726" s="12">
        <v>2010</v>
      </c>
      <c r="AD726" s="10">
        <v>2010</v>
      </c>
      <c r="AE726" s="13" t="s">
        <v>72</v>
      </c>
      <c r="AF726" s="9">
        <v>1</v>
      </c>
      <c r="AG726" s="9" t="s">
        <v>64</v>
      </c>
      <c r="AH726" s="10" t="s">
        <v>64</v>
      </c>
    </row>
    <row r="727" spans="1:34" ht="15" customHeight="1">
      <c r="A727" t="s">
        <v>1186</v>
      </c>
      <c r="B727" t="s">
        <v>1187</v>
      </c>
      <c r="C727" s="24">
        <v>1</v>
      </c>
      <c r="D727" t="s">
        <v>604</v>
      </c>
      <c r="E727" t="s">
        <v>38</v>
      </c>
      <c r="F727" t="s">
        <v>123</v>
      </c>
      <c r="G727" t="s">
        <v>40</v>
      </c>
      <c r="H727" t="s">
        <v>41</v>
      </c>
      <c r="I727" t="s">
        <v>427</v>
      </c>
      <c r="J727" t="s">
        <v>42</v>
      </c>
      <c r="K727" t="s">
        <v>353</v>
      </c>
      <c r="L727" t="s">
        <v>505</v>
      </c>
      <c r="M727" s="1" t="s">
        <v>42</v>
      </c>
      <c r="N727" s="39" t="s">
        <v>359</v>
      </c>
      <c r="O727" t="s">
        <v>86</v>
      </c>
      <c r="P727" s="39" t="s">
        <v>1188</v>
      </c>
      <c r="Q727" t="s">
        <v>108</v>
      </c>
      <c r="R727" t="s">
        <v>109</v>
      </c>
      <c r="S727" t="s">
        <v>1189</v>
      </c>
      <c r="T727" t="s">
        <v>42</v>
      </c>
      <c r="U727" t="s">
        <v>42</v>
      </c>
      <c r="V727" t="s">
        <v>64</v>
      </c>
      <c r="W727" s="8" t="s">
        <v>64</v>
      </c>
      <c r="X727" t="s">
        <v>42</v>
      </c>
      <c r="Y727" s="8">
        <v>0</v>
      </c>
      <c r="Z727" t="s">
        <v>659</v>
      </c>
      <c r="AA727">
        <v>0</v>
      </c>
      <c r="AB727" t="s">
        <v>659</v>
      </c>
      <c r="AC727" s="5">
        <v>2004</v>
      </c>
      <c r="AD727" s="1">
        <v>2004</v>
      </c>
      <c r="AE727" s="6" t="s">
        <v>72</v>
      </c>
      <c r="AF727">
        <v>1</v>
      </c>
      <c r="AG727" t="s">
        <v>64</v>
      </c>
      <c r="AH727" s="1" t="s">
        <v>64</v>
      </c>
    </row>
    <row r="728" spans="1:34" ht="15" customHeight="1">
      <c r="A728" t="s">
        <v>1186</v>
      </c>
      <c r="B728" t="s">
        <v>1187</v>
      </c>
      <c r="C728" s="24">
        <v>2</v>
      </c>
      <c r="D728" t="s">
        <v>604</v>
      </c>
      <c r="E728" t="s">
        <v>38</v>
      </c>
      <c r="F728" t="s">
        <v>123</v>
      </c>
      <c r="G728" t="s">
        <v>40</v>
      </c>
      <c r="H728" t="s">
        <v>41</v>
      </c>
      <c r="I728" t="s">
        <v>427</v>
      </c>
      <c r="J728" t="s">
        <v>42</v>
      </c>
      <c r="K728" t="s">
        <v>353</v>
      </c>
      <c r="L728" t="s">
        <v>505</v>
      </c>
      <c r="M728" s="1" t="s">
        <v>42</v>
      </c>
      <c r="N728" s="39" t="s">
        <v>359</v>
      </c>
      <c r="O728" t="s">
        <v>86</v>
      </c>
      <c r="P728" s="39" t="s">
        <v>1190</v>
      </c>
      <c r="Q728" t="s">
        <v>108</v>
      </c>
      <c r="R728" t="s">
        <v>109</v>
      </c>
      <c r="S728" t="s">
        <v>1191</v>
      </c>
      <c r="T728" t="s">
        <v>42</v>
      </c>
      <c r="U728" t="s">
        <v>42</v>
      </c>
      <c r="V728" t="s">
        <v>64</v>
      </c>
      <c r="W728" s="8" t="s">
        <v>64</v>
      </c>
      <c r="X728" t="s">
        <v>42</v>
      </c>
      <c r="Y728" s="8">
        <v>0</v>
      </c>
      <c r="Z728" t="s">
        <v>659</v>
      </c>
      <c r="AA728">
        <v>0</v>
      </c>
      <c r="AB728" t="s">
        <v>659</v>
      </c>
      <c r="AC728" s="5">
        <v>2004</v>
      </c>
      <c r="AD728" s="1">
        <v>2004</v>
      </c>
      <c r="AE728" s="6" t="s">
        <v>72</v>
      </c>
      <c r="AF728">
        <v>1</v>
      </c>
      <c r="AG728" t="s">
        <v>64</v>
      </c>
      <c r="AH728" s="1" t="s">
        <v>64</v>
      </c>
    </row>
    <row r="729" spans="1:34" ht="15" customHeight="1">
      <c r="A729" t="s">
        <v>1186</v>
      </c>
      <c r="B729" t="s">
        <v>1187</v>
      </c>
      <c r="C729" s="24">
        <v>3</v>
      </c>
      <c r="D729" t="s">
        <v>604</v>
      </c>
      <c r="E729" t="s">
        <v>397</v>
      </c>
      <c r="F729" t="s">
        <v>123</v>
      </c>
      <c r="G729" t="s">
        <v>40</v>
      </c>
      <c r="H729" t="s">
        <v>41</v>
      </c>
      <c r="I729" t="s">
        <v>427</v>
      </c>
      <c r="J729" t="s">
        <v>42</v>
      </c>
      <c r="K729" t="s">
        <v>353</v>
      </c>
      <c r="L729" t="s">
        <v>505</v>
      </c>
      <c r="M729" s="1" t="s">
        <v>42</v>
      </c>
      <c r="N729" s="39" t="s">
        <v>106</v>
      </c>
      <c r="O729" t="s">
        <v>86</v>
      </c>
      <c r="P729" s="39" t="s">
        <v>106</v>
      </c>
      <c r="Q729" t="s">
        <v>108</v>
      </c>
      <c r="R729" t="s">
        <v>109</v>
      </c>
      <c r="S729" t="s">
        <v>1192</v>
      </c>
      <c r="T729" t="s">
        <v>42</v>
      </c>
      <c r="U729" t="s">
        <v>42</v>
      </c>
      <c r="V729" t="s">
        <v>64</v>
      </c>
      <c r="W729" s="8" t="s">
        <v>64</v>
      </c>
      <c r="X729" t="s">
        <v>42</v>
      </c>
      <c r="Y729" s="8">
        <v>0</v>
      </c>
      <c r="Z729">
        <v>0</v>
      </c>
      <c r="AA729">
        <v>0</v>
      </c>
      <c r="AB729">
        <v>15</v>
      </c>
      <c r="AC729" s="5" t="s">
        <v>42</v>
      </c>
      <c r="AD729" s="1" t="s">
        <v>42</v>
      </c>
      <c r="AE729" s="6" t="s">
        <v>42</v>
      </c>
      <c r="AF729">
        <v>1</v>
      </c>
      <c r="AG729" t="s">
        <v>64</v>
      </c>
      <c r="AH729" s="1" t="s">
        <v>64</v>
      </c>
    </row>
    <row r="730" spans="1:34" ht="15" customHeight="1">
      <c r="A730" t="s">
        <v>1186</v>
      </c>
      <c r="B730" t="s">
        <v>1187</v>
      </c>
      <c r="C730" s="24">
        <v>4</v>
      </c>
      <c r="D730" t="s">
        <v>604</v>
      </c>
      <c r="E730" t="s">
        <v>397</v>
      </c>
      <c r="F730" t="s">
        <v>123</v>
      </c>
      <c r="G730" t="s">
        <v>40</v>
      </c>
      <c r="H730" t="s">
        <v>41</v>
      </c>
      <c r="I730" t="s">
        <v>427</v>
      </c>
      <c r="J730" t="s">
        <v>42</v>
      </c>
      <c r="K730" t="s">
        <v>353</v>
      </c>
      <c r="L730" t="s">
        <v>505</v>
      </c>
      <c r="M730" s="1" t="s">
        <v>42</v>
      </c>
      <c r="N730" s="39" t="s">
        <v>623</v>
      </c>
      <c r="O730" t="s">
        <v>86</v>
      </c>
      <c r="P730" s="39" t="s">
        <v>1193</v>
      </c>
      <c r="Q730" t="s">
        <v>108</v>
      </c>
      <c r="R730" t="s">
        <v>109</v>
      </c>
      <c r="S730" t="s">
        <v>523</v>
      </c>
      <c r="T730" t="s">
        <v>42</v>
      </c>
      <c r="U730" t="s">
        <v>42</v>
      </c>
      <c r="V730" t="s">
        <v>64</v>
      </c>
      <c r="W730" s="8" t="s">
        <v>64</v>
      </c>
      <c r="X730" t="s">
        <v>42</v>
      </c>
      <c r="Y730" s="8">
        <v>0</v>
      </c>
      <c r="Z730">
        <v>0</v>
      </c>
      <c r="AA730">
        <v>0</v>
      </c>
      <c r="AB730" t="s">
        <v>659</v>
      </c>
      <c r="AC730" s="5">
        <v>1987</v>
      </c>
      <c r="AD730" s="1">
        <v>2002</v>
      </c>
      <c r="AE730" s="6">
        <f>AD730-AC730</f>
        <v>15</v>
      </c>
      <c r="AF730">
        <v>15</v>
      </c>
      <c r="AG730" t="s">
        <v>64</v>
      </c>
      <c r="AH730" s="1" t="s">
        <v>64</v>
      </c>
    </row>
    <row r="731" spans="1:34" ht="15" customHeight="1">
      <c r="A731" t="s">
        <v>1186</v>
      </c>
      <c r="B731" t="s">
        <v>1187</v>
      </c>
      <c r="C731" s="24">
        <v>5</v>
      </c>
      <c r="D731" t="s">
        <v>604</v>
      </c>
      <c r="E731" t="s">
        <v>397</v>
      </c>
      <c r="F731" t="s">
        <v>123</v>
      </c>
      <c r="G731" t="s">
        <v>40</v>
      </c>
      <c r="H731" t="s">
        <v>41</v>
      </c>
      <c r="I731" t="s">
        <v>427</v>
      </c>
      <c r="J731" t="s">
        <v>42</v>
      </c>
      <c r="K731" t="s">
        <v>353</v>
      </c>
      <c r="L731" t="s">
        <v>505</v>
      </c>
      <c r="M731" s="1" t="s">
        <v>42</v>
      </c>
      <c r="N731" s="39" t="s">
        <v>399</v>
      </c>
      <c r="O731" t="s">
        <v>86</v>
      </c>
      <c r="P731" s="39" t="s">
        <v>399</v>
      </c>
      <c r="Q731" t="s">
        <v>108</v>
      </c>
      <c r="R731" t="s">
        <v>109</v>
      </c>
      <c r="S731" t="s">
        <v>1194</v>
      </c>
      <c r="T731" t="s">
        <v>42</v>
      </c>
      <c r="U731" t="s">
        <v>42</v>
      </c>
      <c r="V731" t="s">
        <v>64</v>
      </c>
      <c r="W731" s="8" t="s">
        <v>64</v>
      </c>
      <c r="X731" t="s">
        <v>42</v>
      </c>
      <c r="Y731" s="8">
        <v>0</v>
      </c>
      <c r="Z731">
        <v>0</v>
      </c>
      <c r="AA731">
        <v>0</v>
      </c>
      <c r="AB731">
        <v>1</v>
      </c>
      <c r="AC731" s="5">
        <v>1980</v>
      </c>
      <c r="AD731" s="1">
        <v>2003</v>
      </c>
      <c r="AE731" s="6">
        <f>AD731-AC731</f>
        <v>23</v>
      </c>
      <c r="AF731">
        <v>19</v>
      </c>
      <c r="AG731" t="s">
        <v>50</v>
      </c>
      <c r="AH731" s="1" t="s">
        <v>64</v>
      </c>
    </row>
    <row r="732" spans="1:34" ht="15" customHeight="1">
      <c r="A732" t="s">
        <v>1186</v>
      </c>
      <c r="B732" t="s">
        <v>1187</v>
      </c>
      <c r="C732" s="24">
        <v>6</v>
      </c>
      <c r="D732" t="s">
        <v>604</v>
      </c>
      <c r="E732" t="s">
        <v>397</v>
      </c>
      <c r="F732" t="s">
        <v>123</v>
      </c>
      <c r="G732" t="s">
        <v>40</v>
      </c>
      <c r="H732" t="s">
        <v>41</v>
      </c>
      <c r="I732" t="s">
        <v>427</v>
      </c>
      <c r="J732" t="s">
        <v>42</v>
      </c>
      <c r="K732" t="s">
        <v>353</v>
      </c>
      <c r="L732" t="s">
        <v>505</v>
      </c>
      <c r="M732" s="1" t="s">
        <v>42</v>
      </c>
      <c r="N732" s="39" t="s">
        <v>402</v>
      </c>
      <c r="O732" t="s">
        <v>86</v>
      </c>
      <c r="P732" s="39" t="s">
        <v>402</v>
      </c>
      <c r="Q732" t="s">
        <v>108</v>
      </c>
      <c r="R732" t="s">
        <v>109</v>
      </c>
      <c r="S732" t="s">
        <v>523</v>
      </c>
      <c r="T732" t="s">
        <v>42</v>
      </c>
      <c r="U732" t="s">
        <v>42</v>
      </c>
      <c r="V732" t="s">
        <v>64</v>
      </c>
      <c r="W732" s="8" t="s">
        <v>64</v>
      </c>
      <c r="X732" t="s">
        <v>42</v>
      </c>
      <c r="Y732" s="8">
        <v>0</v>
      </c>
      <c r="Z732">
        <v>0</v>
      </c>
      <c r="AA732">
        <v>0</v>
      </c>
      <c r="AB732">
        <v>1</v>
      </c>
      <c r="AC732" s="5">
        <v>1980</v>
      </c>
      <c r="AD732" s="1">
        <v>2003</v>
      </c>
      <c r="AE732" s="6">
        <f>AD732-AC732</f>
        <v>23</v>
      </c>
      <c r="AF732">
        <v>19</v>
      </c>
      <c r="AG732" t="s">
        <v>50</v>
      </c>
      <c r="AH732" s="1" t="s">
        <v>64</v>
      </c>
    </row>
    <row r="733" spans="1:34" ht="15" customHeight="1">
      <c r="A733" t="s">
        <v>1186</v>
      </c>
      <c r="B733" t="s">
        <v>1187</v>
      </c>
      <c r="C733" s="24">
        <v>7</v>
      </c>
      <c r="D733" t="s">
        <v>604</v>
      </c>
      <c r="E733" t="s">
        <v>397</v>
      </c>
      <c r="F733" t="s">
        <v>123</v>
      </c>
      <c r="G733" t="s">
        <v>40</v>
      </c>
      <c r="H733" t="s">
        <v>41</v>
      </c>
      <c r="I733" t="s">
        <v>427</v>
      </c>
      <c r="J733" t="s">
        <v>42</v>
      </c>
      <c r="K733" t="s">
        <v>353</v>
      </c>
      <c r="L733" t="s">
        <v>505</v>
      </c>
      <c r="M733" s="1" t="s">
        <v>42</v>
      </c>
      <c r="N733" s="39" t="s">
        <v>399</v>
      </c>
      <c r="O733" t="s">
        <v>86</v>
      </c>
      <c r="P733" s="39" t="s">
        <v>399</v>
      </c>
      <c r="Q733" t="s">
        <v>108</v>
      </c>
      <c r="R733" t="s">
        <v>109</v>
      </c>
      <c r="S733" t="s">
        <v>1194</v>
      </c>
      <c r="T733" t="s">
        <v>42</v>
      </c>
      <c r="U733" t="s">
        <v>42</v>
      </c>
      <c r="V733" t="s">
        <v>64</v>
      </c>
      <c r="W733" s="8" t="s">
        <v>64</v>
      </c>
      <c r="X733" t="s">
        <v>42</v>
      </c>
      <c r="Y733" s="8">
        <v>0</v>
      </c>
      <c r="Z733">
        <v>0</v>
      </c>
      <c r="AA733">
        <v>0</v>
      </c>
      <c r="AB733">
        <v>15</v>
      </c>
      <c r="AC733" s="5">
        <v>1984</v>
      </c>
      <c r="AD733" s="1">
        <v>1985</v>
      </c>
      <c r="AE733" s="6">
        <v>1</v>
      </c>
      <c r="AF733">
        <v>13</v>
      </c>
      <c r="AG733" t="s">
        <v>64</v>
      </c>
      <c r="AH733" s="1" t="s">
        <v>64</v>
      </c>
    </row>
    <row r="734" spans="1:34" ht="15" customHeight="1">
      <c r="A734" t="s">
        <v>1186</v>
      </c>
      <c r="B734" t="s">
        <v>1187</v>
      </c>
      <c r="C734" s="24">
        <v>8</v>
      </c>
      <c r="D734" t="s">
        <v>604</v>
      </c>
      <c r="E734" t="s">
        <v>397</v>
      </c>
      <c r="F734" t="s">
        <v>123</v>
      </c>
      <c r="G734" t="s">
        <v>40</v>
      </c>
      <c r="H734" t="s">
        <v>41</v>
      </c>
      <c r="I734" t="s">
        <v>427</v>
      </c>
      <c r="J734" t="s">
        <v>42</v>
      </c>
      <c r="K734" t="s">
        <v>353</v>
      </c>
      <c r="L734" t="s">
        <v>505</v>
      </c>
      <c r="M734" s="1" t="s">
        <v>42</v>
      </c>
      <c r="N734" s="39" t="s">
        <v>399</v>
      </c>
      <c r="O734" t="s">
        <v>86</v>
      </c>
      <c r="P734" s="39" t="s">
        <v>399</v>
      </c>
      <c r="Q734" t="s">
        <v>108</v>
      </c>
      <c r="R734" t="s">
        <v>109</v>
      </c>
      <c r="S734" t="s">
        <v>1195</v>
      </c>
      <c r="T734" t="s">
        <v>42</v>
      </c>
      <c r="U734" t="s">
        <v>42</v>
      </c>
      <c r="V734" t="s">
        <v>64</v>
      </c>
      <c r="W734" s="8" t="s">
        <v>64</v>
      </c>
      <c r="X734" t="s">
        <v>42</v>
      </c>
      <c r="Y734" s="8">
        <v>0</v>
      </c>
      <c r="Z734">
        <v>0</v>
      </c>
      <c r="AA734">
        <v>0</v>
      </c>
      <c r="AB734">
        <v>5</v>
      </c>
      <c r="AC734" s="5">
        <v>1993</v>
      </c>
      <c r="AD734" s="1">
        <v>1993</v>
      </c>
      <c r="AE734" s="6">
        <v>1</v>
      </c>
      <c r="AF734">
        <v>10</v>
      </c>
      <c r="AG734" t="s">
        <v>64</v>
      </c>
      <c r="AH734" s="1" t="s">
        <v>64</v>
      </c>
    </row>
    <row r="735" spans="1:34" ht="15" customHeight="1">
      <c r="A735" t="s">
        <v>1186</v>
      </c>
      <c r="B735" t="s">
        <v>1187</v>
      </c>
      <c r="C735" s="24">
        <v>9</v>
      </c>
      <c r="D735" t="s">
        <v>604</v>
      </c>
      <c r="E735" t="s">
        <v>397</v>
      </c>
      <c r="F735" t="s">
        <v>123</v>
      </c>
      <c r="G735" t="s">
        <v>40</v>
      </c>
      <c r="H735" t="s">
        <v>41</v>
      </c>
      <c r="I735" t="s">
        <v>427</v>
      </c>
      <c r="J735" t="s">
        <v>42</v>
      </c>
      <c r="K735" t="s">
        <v>353</v>
      </c>
      <c r="L735" t="s">
        <v>505</v>
      </c>
      <c r="M735" s="1" t="s">
        <v>42</v>
      </c>
      <c r="N735" s="39" t="s">
        <v>399</v>
      </c>
      <c r="O735" t="s">
        <v>86</v>
      </c>
      <c r="P735" s="39" t="s">
        <v>399</v>
      </c>
      <c r="Q735" t="s">
        <v>108</v>
      </c>
      <c r="R735" t="s">
        <v>109</v>
      </c>
      <c r="S735" t="s">
        <v>1195</v>
      </c>
      <c r="T735" t="s">
        <v>42</v>
      </c>
      <c r="U735" t="s">
        <v>42</v>
      </c>
      <c r="V735" t="s">
        <v>64</v>
      </c>
      <c r="W735" s="8" t="s">
        <v>64</v>
      </c>
      <c r="X735" t="s">
        <v>42</v>
      </c>
      <c r="Y735" s="8">
        <v>0</v>
      </c>
      <c r="Z735">
        <v>0</v>
      </c>
      <c r="AA735">
        <v>0</v>
      </c>
      <c r="AB735">
        <v>5</v>
      </c>
      <c r="AC735" s="5">
        <v>1993</v>
      </c>
      <c r="AD735" s="1">
        <v>1998</v>
      </c>
      <c r="AE735" s="6">
        <f>AD735-AC735</f>
        <v>5</v>
      </c>
      <c r="AF735">
        <v>6</v>
      </c>
      <c r="AG735" t="s">
        <v>64</v>
      </c>
      <c r="AH735" s="1" t="s">
        <v>64</v>
      </c>
    </row>
    <row r="736" spans="1:34" ht="15" customHeight="1">
      <c r="A736" t="s">
        <v>1186</v>
      </c>
      <c r="B736" t="s">
        <v>1187</v>
      </c>
      <c r="C736" s="24">
        <v>10</v>
      </c>
      <c r="D736" t="s">
        <v>604</v>
      </c>
      <c r="E736" t="s">
        <v>397</v>
      </c>
      <c r="F736" t="s">
        <v>123</v>
      </c>
      <c r="G736" t="s">
        <v>40</v>
      </c>
      <c r="H736" t="s">
        <v>41</v>
      </c>
      <c r="I736" t="s">
        <v>427</v>
      </c>
      <c r="J736" t="s">
        <v>42</v>
      </c>
      <c r="K736" t="s">
        <v>353</v>
      </c>
      <c r="L736" t="s">
        <v>505</v>
      </c>
      <c r="M736" s="1" t="s">
        <v>42</v>
      </c>
      <c r="N736" s="39" t="s">
        <v>52</v>
      </c>
      <c r="O736" t="s">
        <v>86</v>
      </c>
      <c r="P736" s="39" t="s">
        <v>52</v>
      </c>
      <c r="Q736" t="s">
        <v>108</v>
      </c>
      <c r="R736" t="s">
        <v>109</v>
      </c>
      <c r="S736" t="s">
        <v>1196</v>
      </c>
      <c r="T736" t="s">
        <v>42</v>
      </c>
      <c r="U736" t="s">
        <v>42</v>
      </c>
      <c r="V736" t="s">
        <v>64</v>
      </c>
      <c r="W736" s="8" t="s">
        <v>64</v>
      </c>
      <c r="X736" t="s">
        <v>42</v>
      </c>
      <c r="Y736" s="8">
        <v>0</v>
      </c>
      <c r="Z736">
        <v>0</v>
      </c>
      <c r="AA736">
        <v>0</v>
      </c>
      <c r="AB736">
        <v>10</v>
      </c>
      <c r="AC736" s="5">
        <v>1998</v>
      </c>
      <c r="AD736" s="1">
        <v>2003</v>
      </c>
      <c r="AE736" s="6">
        <f>AD736-AC736</f>
        <v>5</v>
      </c>
      <c r="AF736">
        <v>6</v>
      </c>
      <c r="AG736" t="s">
        <v>64</v>
      </c>
      <c r="AH736" s="1" t="s">
        <v>64</v>
      </c>
    </row>
    <row r="737" spans="1:34" ht="15" customHeight="1">
      <c r="A737" t="s">
        <v>1186</v>
      </c>
      <c r="B737" t="s">
        <v>1187</v>
      </c>
      <c r="C737" s="24">
        <v>11</v>
      </c>
      <c r="D737" t="s">
        <v>604</v>
      </c>
      <c r="E737" t="s">
        <v>397</v>
      </c>
      <c r="F737" t="s">
        <v>123</v>
      </c>
      <c r="G737" t="s">
        <v>40</v>
      </c>
      <c r="H737" t="s">
        <v>41</v>
      </c>
      <c r="I737" t="s">
        <v>427</v>
      </c>
      <c r="J737" t="s">
        <v>42</v>
      </c>
      <c r="K737" t="s">
        <v>353</v>
      </c>
      <c r="L737" t="s">
        <v>505</v>
      </c>
      <c r="M737" s="1" t="s">
        <v>42</v>
      </c>
      <c r="N737" s="39" t="s">
        <v>52</v>
      </c>
      <c r="O737" t="s">
        <v>86</v>
      </c>
      <c r="P737" s="39" t="s">
        <v>52</v>
      </c>
      <c r="Q737" t="s">
        <v>108</v>
      </c>
      <c r="R737" t="s">
        <v>109</v>
      </c>
      <c r="S737" t="s">
        <v>1196</v>
      </c>
      <c r="T737" t="s">
        <v>42</v>
      </c>
      <c r="U737" t="s">
        <v>42</v>
      </c>
      <c r="V737" t="s">
        <v>64</v>
      </c>
      <c r="W737" s="8" t="s">
        <v>64</v>
      </c>
      <c r="X737" t="s">
        <v>42</v>
      </c>
      <c r="Y737" s="8">
        <v>0</v>
      </c>
      <c r="Z737">
        <v>62</v>
      </c>
      <c r="AA737">
        <v>0</v>
      </c>
      <c r="AB737">
        <v>45</v>
      </c>
      <c r="AC737" s="5">
        <v>2003</v>
      </c>
      <c r="AD737" s="1">
        <v>2003</v>
      </c>
      <c r="AE737" s="6" t="s">
        <v>72</v>
      </c>
      <c r="AF737">
        <v>1</v>
      </c>
      <c r="AG737" t="s">
        <v>64</v>
      </c>
      <c r="AH737" s="1" t="s">
        <v>64</v>
      </c>
    </row>
    <row r="738" spans="1:34" ht="15" customHeight="1">
      <c r="A738" t="s">
        <v>1186</v>
      </c>
      <c r="B738" t="s">
        <v>1187</v>
      </c>
      <c r="C738" s="24">
        <v>12</v>
      </c>
      <c r="D738" t="s">
        <v>604</v>
      </c>
      <c r="E738" t="s">
        <v>397</v>
      </c>
      <c r="F738" t="s">
        <v>123</v>
      </c>
      <c r="G738" t="s">
        <v>40</v>
      </c>
      <c r="H738" t="s">
        <v>41</v>
      </c>
      <c r="I738" t="s">
        <v>427</v>
      </c>
      <c r="J738" t="s">
        <v>42</v>
      </c>
      <c r="K738" t="s">
        <v>353</v>
      </c>
      <c r="L738" t="s">
        <v>505</v>
      </c>
      <c r="M738" s="1" t="s">
        <v>42</v>
      </c>
      <c r="N738" s="39" t="s">
        <v>402</v>
      </c>
      <c r="O738" t="s">
        <v>86</v>
      </c>
      <c r="P738" s="39" t="s">
        <v>402</v>
      </c>
      <c r="Q738" t="s">
        <v>108</v>
      </c>
      <c r="R738" t="s">
        <v>109</v>
      </c>
      <c r="S738" t="s">
        <v>181</v>
      </c>
      <c r="T738" t="s">
        <v>42</v>
      </c>
      <c r="U738" t="s">
        <v>42</v>
      </c>
      <c r="V738" t="s">
        <v>64</v>
      </c>
      <c r="W738" s="8" t="s">
        <v>64</v>
      </c>
      <c r="X738" t="s">
        <v>42</v>
      </c>
      <c r="Y738" s="8">
        <v>0</v>
      </c>
      <c r="Z738" t="s">
        <v>659</v>
      </c>
      <c r="AA738">
        <v>0</v>
      </c>
      <c r="AB738" t="s">
        <v>659</v>
      </c>
      <c r="AC738" s="5">
        <v>1990</v>
      </c>
      <c r="AD738" s="1">
        <v>2003</v>
      </c>
      <c r="AE738" s="6">
        <f>AD738-AC738</f>
        <v>13</v>
      </c>
      <c r="AF738">
        <v>14</v>
      </c>
      <c r="AG738" t="s">
        <v>50</v>
      </c>
      <c r="AH738" s="1" t="s">
        <v>64</v>
      </c>
    </row>
    <row r="739" spans="1:34" s="9" customFormat="1" ht="15" customHeight="1">
      <c r="A739" s="9" t="s">
        <v>1186</v>
      </c>
      <c r="B739" s="9" t="s">
        <v>1187</v>
      </c>
      <c r="C739" s="25">
        <v>13</v>
      </c>
      <c r="D739" t="s">
        <v>604</v>
      </c>
      <c r="E739" s="9" t="s">
        <v>397</v>
      </c>
      <c r="F739" s="9" t="s">
        <v>123</v>
      </c>
      <c r="G739" s="9" t="s">
        <v>40</v>
      </c>
      <c r="H739" s="9" t="s">
        <v>41</v>
      </c>
      <c r="I739" s="9" t="s">
        <v>427</v>
      </c>
      <c r="J739" s="9" t="s">
        <v>42</v>
      </c>
      <c r="K739" s="9" t="s">
        <v>353</v>
      </c>
      <c r="L739" s="9" t="s">
        <v>505</v>
      </c>
      <c r="M739" s="10" t="s">
        <v>42</v>
      </c>
      <c r="N739" s="40" t="s">
        <v>402</v>
      </c>
      <c r="O739" s="9" t="s">
        <v>86</v>
      </c>
      <c r="P739" s="40" t="s">
        <v>402</v>
      </c>
      <c r="Q739" s="9" t="s">
        <v>108</v>
      </c>
      <c r="R739" s="9" t="s">
        <v>109</v>
      </c>
      <c r="S739" s="9" t="s">
        <v>523</v>
      </c>
      <c r="T739" s="9" t="s">
        <v>42</v>
      </c>
      <c r="U739" s="9" t="s">
        <v>42</v>
      </c>
      <c r="V739" s="9" t="s">
        <v>64</v>
      </c>
      <c r="W739" s="11" t="s">
        <v>64</v>
      </c>
      <c r="X739" s="9" t="s">
        <v>42</v>
      </c>
      <c r="Y739" s="11">
        <v>0</v>
      </c>
      <c r="Z739" s="9" t="s">
        <v>659</v>
      </c>
      <c r="AA739" s="9">
        <v>0</v>
      </c>
      <c r="AB739" s="9">
        <v>49</v>
      </c>
      <c r="AC739" s="12">
        <v>1960</v>
      </c>
      <c r="AD739" s="10">
        <v>2003</v>
      </c>
      <c r="AE739" s="13">
        <f>AD739-AC739</f>
        <v>43</v>
      </c>
      <c r="AF739" s="9">
        <v>43</v>
      </c>
      <c r="AG739" s="9" t="s">
        <v>50</v>
      </c>
      <c r="AH739" s="10" t="s">
        <v>64</v>
      </c>
    </row>
    <row r="740" spans="1:34" ht="15" customHeight="1">
      <c r="A740" t="s">
        <v>1197</v>
      </c>
      <c r="B740" t="s">
        <v>1198</v>
      </c>
      <c r="C740" s="1">
        <v>1</v>
      </c>
      <c r="D740" t="s">
        <v>38</v>
      </c>
      <c r="E740" t="s">
        <v>38</v>
      </c>
      <c r="F740" t="s">
        <v>39</v>
      </c>
      <c r="G740" t="s">
        <v>40</v>
      </c>
      <c r="H740" t="s">
        <v>41</v>
      </c>
      <c r="I740" t="s">
        <v>185</v>
      </c>
      <c r="J740" t="s">
        <v>42</v>
      </c>
      <c r="K740" t="s">
        <v>42</v>
      </c>
      <c r="L740" t="s">
        <v>42</v>
      </c>
      <c r="M740" s="1" t="s">
        <v>42</v>
      </c>
      <c r="N740" s="39" t="s">
        <v>139</v>
      </c>
      <c r="O740" t="s">
        <v>44</v>
      </c>
      <c r="P740" s="39" t="s">
        <v>1199</v>
      </c>
      <c r="Q740" t="s">
        <v>200</v>
      </c>
      <c r="R740" t="s">
        <v>1200</v>
      </c>
      <c r="S740" t="s">
        <v>48</v>
      </c>
      <c r="T740" t="s">
        <v>204</v>
      </c>
      <c r="U740" t="s">
        <v>42</v>
      </c>
      <c r="V740" t="s">
        <v>42</v>
      </c>
      <c r="W740" s="8" t="s">
        <v>50</v>
      </c>
      <c r="X740" t="s">
        <v>1201</v>
      </c>
      <c r="Y740" s="8">
        <v>2</v>
      </c>
      <c r="Z740">
        <v>0</v>
      </c>
      <c r="AA740">
        <v>0</v>
      </c>
      <c r="AB740">
        <v>0</v>
      </c>
      <c r="AC740" s="5">
        <v>2017</v>
      </c>
      <c r="AD740" s="1">
        <v>2018</v>
      </c>
      <c r="AE740" s="6">
        <v>1</v>
      </c>
      <c r="AF740">
        <v>1</v>
      </c>
      <c r="AG740" t="s">
        <v>64</v>
      </c>
      <c r="AH740" t="s">
        <v>64</v>
      </c>
    </row>
    <row r="741" spans="1:34" ht="15" customHeight="1">
      <c r="A741" t="s">
        <v>1197</v>
      </c>
      <c r="B741" t="s">
        <v>1198</v>
      </c>
      <c r="C741" s="1">
        <v>2</v>
      </c>
      <c r="D741" t="s">
        <v>38</v>
      </c>
      <c r="E741" t="s">
        <v>38</v>
      </c>
      <c r="F741" t="s">
        <v>39</v>
      </c>
      <c r="G741" t="s">
        <v>40</v>
      </c>
      <c r="H741" t="s">
        <v>41</v>
      </c>
      <c r="I741" t="s">
        <v>185</v>
      </c>
      <c r="J741" t="s">
        <v>42</v>
      </c>
      <c r="K741" t="s">
        <v>42</v>
      </c>
      <c r="L741" t="s">
        <v>42</v>
      </c>
      <c r="M741" s="1" t="s">
        <v>42</v>
      </c>
      <c r="N741" s="39" t="s">
        <v>139</v>
      </c>
      <c r="O741" t="s">
        <v>44</v>
      </c>
      <c r="P741" s="39" t="s">
        <v>1199</v>
      </c>
      <c r="Q741" t="s">
        <v>200</v>
      </c>
      <c r="R741" t="s">
        <v>1202</v>
      </c>
      <c r="S741" t="s">
        <v>48</v>
      </c>
      <c r="T741" t="s">
        <v>204</v>
      </c>
      <c r="U741" t="s">
        <v>42</v>
      </c>
      <c r="V741" t="s">
        <v>42</v>
      </c>
      <c r="W741" s="8" t="s">
        <v>50</v>
      </c>
      <c r="X741" t="s">
        <v>1203</v>
      </c>
      <c r="Y741" s="8">
        <v>2</v>
      </c>
      <c r="Z741">
        <v>0</v>
      </c>
      <c r="AA741">
        <v>0</v>
      </c>
      <c r="AB741">
        <v>0</v>
      </c>
      <c r="AC741" s="5">
        <v>2017</v>
      </c>
      <c r="AD741" s="1">
        <v>2018</v>
      </c>
      <c r="AE741" s="6">
        <v>1</v>
      </c>
      <c r="AF741">
        <v>1</v>
      </c>
      <c r="AG741" t="s">
        <v>64</v>
      </c>
      <c r="AH741" t="s">
        <v>64</v>
      </c>
    </row>
    <row r="742" spans="1:34" ht="15" customHeight="1">
      <c r="A742" t="s">
        <v>1197</v>
      </c>
      <c r="B742" t="s">
        <v>1198</v>
      </c>
      <c r="C742" s="1">
        <v>3</v>
      </c>
      <c r="D742" t="s">
        <v>38</v>
      </c>
      <c r="E742" t="s">
        <v>38</v>
      </c>
      <c r="F742" t="s">
        <v>39</v>
      </c>
      <c r="G742" t="s">
        <v>40</v>
      </c>
      <c r="H742" t="s">
        <v>41</v>
      </c>
      <c r="I742" t="s">
        <v>185</v>
      </c>
      <c r="J742" t="s">
        <v>42</v>
      </c>
      <c r="K742" t="s">
        <v>42</v>
      </c>
      <c r="L742" t="s">
        <v>42</v>
      </c>
      <c r="M742" s="1" t="s">
        <v>42</v>
      </c>
      <c r="N742" s="39" t="s">
        <v>139</v>
      </c>
      <c r="O742" t="s">
        <v>44</v>
      </c>
      <c r="P742" s="39" t="s">
        <v>1204</v>
      </c>
      <c r="Q742" t="s">
        <v>200</v>
      </c>
      <c r="R742" t="s">
        <v>1200</v>
      </c>
      <c r="S742" t="s">
        <v>48</v>
      </c>
      <c r="T742" t="s">
        <v>204</v>
      </c>
      <c r="U742" t="s">
        <v>42</v>
      </c>
      <c r="V742" t="s">
        <v>42</v>
      </c>
      <c r="W742" s="8" t="s">
        <v>50</v>
      </c>
      <c r="X742" t="s">
        <v>85</v>
      </c>
      <c r="Y742" s="8">
        <v>2</v>
      </c>
      <c r="Z742">
        <v>0</v>
      </c>
      <c r="AA742">
        <v>0</v>
      </c>
      <c r="AB742">
        <v>0</v>
      </c>
      <c r="AC742" s="5">
        <v>2017</v>
      </c>
      <c r="AD742" s="1">
        <v>2018</v>
      </c>
      <c r="AE742" s="6">
        <v>1</v>
      </c>
      <c r="AF742">
        <v>1</v>
      </c>
      <c r="AG742" t="s">
        <v>64</v>
      </c>
      <c r="AH742" t="s">
        <v>64</v>
      </c>
    </row>
    <row r="743" spans="1:34" ht="15" customHeight="1">
      <c r="A743" t="s">
        <v>1197</v>
      </c>
      <c r="B743" t="s">
        <v>1198</v>
      </c>
      <c r="C743" s="1">
        <v>4</v>
      </c>
      <c r="D743" t="s">
        <v>38</v>
      </c>
      <c r="E743" t="s">
        <v>38</v>
      </c>
      <c r="F743" t="s">
        <v>39</v>
      </c>
      <c r="G743" t="s">
        <v>40</v>
      </c>
      <c r="H743" t="s">
        <v>41</v>
      </c>
      <c r="I743" t="s">
        <v>185</v>
      </c>
      <c r="J743" t="s">
        <v>42</v>
      </c>
      <c r="K743" t="s">
        <v>42</v>
      </c>
      <c r="L743" t="s">
        <v>42</v>
      </c>
      <c r="M743" s="1" t="s">
        <v>42</v>
      </c>
      <c r="N743" s="39" t="s">
        <v>139</v>
      </c>
      <c r="O743" t="s">
        <v>44</v>
      </c>
      <c r="P743" s="39" t="s">
        <v>1204</v>
      </c>
      <c r="Q743" t="s">
        <v>200</v>
      </c>
      <c r="R743" t="s">
        <v>1202</v>
      </c>
      <c r="S743" t="s">
        <v>48</v>
      </c>
      <c r="T743" t="s">
        <v>204</v>
      </c>
      <c r="U743" t="s">
        <v>42</v>
      </c>
      <c r="V743" t="s">
        <v>42</v>
      </c>
      <c r="W743" s="8" t="s">
        <v>50</v>
      </c>
      <c r="X743" t="s">
        <v>85</v>
      </c>
      <c r="Y743" s="8">
        <v>2</v>
      </c>
      <c r="Z743">
        <v>0</v>
      </c>
      <c r="AA743">
        <v>0</v>
      </c>
      <c r="AB743">
        <v>0</v>
      </c>
      <c r="AC743" s="5">
        <v>2017</v>
      </c>
      <c r="AD743" s="1">
        <v>2018</v>
      </c>
      <c r="AE743" s="6">
        <v>1</v>
      </c>
      <c r="AF743">
        <v>1</v>
      </c>
      <c r="AG743" t="s">
        <v>64</v>
      </c>
      <c r="AH743" t="s">
        <v>64</v>
      </c>
    </row>
    <row r="744" spans="1:34" ht="15" customHeight="1">
      <c r="A744" t="s">
        <v>1197</v>
      </c>
      <c r="B744" t="s">
        <v>1198</v>
      </c>
      <c r="C744" s="1">
        <v>5</v>
      </c>
      <c r="D744" t="s">
        <v>38</v>
      </c>
      <c r="E744" t="s">
        <v>38</v>
      </c>
      <c r="F744" t="s">
        <v>39</v>
      </c>
      <c r="G744" t="s">
        <v>40</v>
      </c>
      <c r="H744" t="s">
        <v>41</v>
      </c>
      <c r="I744" t="s">
        <v>185</v>
      </c>
      <c r="J744" t="s">
        <v>42</v>
      </c>
      <c r="K744" t="s">
        <v>42</v>
      </c>
      <c r="L744" t="s">
        <v>42</v>
      </c>
      <c r="M744" s="1" t="s">
        <v>42</v>
      </c>
      <c r="N744" s="39" t="s">
        <v>57</v>
      </c>
      <c r="O744" t="s">
        <v>44</v>
      </c>
      <c r="P744" s="39" t="s">
        <v>57</v>
      </c>
      <c r="Q744" t="s">
        <v>200</v>
      </c>
      <c r="R744" t="s">
        <v>1200</v>
      </c>
      <c r="S744" t="s">
        <v>203</v>
      </c>
      <c r="T744" t="s">
        <v>204</v>
      </c>
      <c r="U744" t="s">
        <v>42</v>
      </c>
      <c r="V744" t="s">
        <v>42</v>
      </c>
      <c r="W744" s="8" t="s">
        <v>50</v>
      </c>
      <c r="X744" t="s">
        <v>85</v>
      </c>
      <c r="Y744" s="8">
        <v>2</v>
      </c>
      <c r="Z744">
        <v>0</v>
      </c>
      <c r="AA744">
        <v>0</v>
      </c>
      <c r="AB744">
        <v>0</v>
      </c>
      <c r="AC744" s="5">
        <v>2017</v>
      </c>
      <c r="AD744" s="1">
        <v>2018</v>
      </c>
      <c r="AE744" s="6">
        <v>1</v>
      </c>
      <c r="AF744">
        <v>1</v>
      </c>
      <c r="AG744" t="s">
        <v>64</v>
      </c>
      <c r="AH744" t="s">
        <v>64</v>
      </c>
    </row>
    <row r="745" spans="1:34" ht="15" customHeight="1">
      <c r="A745" t="s">
        <v>1197</v>
      </c>
      <c r="B745" t="s">
        <v>1198</v>
      </c>
      <c r="C745" s="1">
        <v>6</v>
      </c>
      <c r="D745" t="s">
        <v>38</v>
      </c>
      <c r="E745" t="s">
        <v>38</v>
      </c>
      <c r="F745" t="s">
        <v>39</v>
      </c>
      <c r="G745" t="s">
        <v>40</v>
      </c>
      <c r="H745" t="s">
        <v>41</v>
      </c>
      <c r="I745" t="s">
        <v>185</v>
      </c>
      <c r="J745" t="s">
        <v>42</v>
      </c>
      <c r="K745" t="s">
        <v>42</v>
      </c>
      <c r="L745" t="s">
        <v>42</v>
      </c>
      <c r="M745" s="1" t="s">
        <v>42</v>
      </c>
      <c r="N745" s="39" t="s">
        <v>43</v>
      </c>
      <c r="O745" t="s">
        <v>44</v>
      </c>
      <c r="P745" s="39" t="s">
        <v>1205</v>
      </c>
      <c r="Q745" t="s">
        <v>200</v>
      </c>
      <c r="R745" t="s">
        <v>1200</v>
      </c>
      <c r="S745" t="s">
        <v>48</v>
      </c>
      <c r="T745" t="s">
        <v>204</v>
      </c>
      <c r="U745" t="s">
        <v>42</v>
      </c>
      <c r="V745" t="s">
        <v>42</v>
      </c>
      <c r="W745" s="8" t="s">
        <v>50</v>
      </c>
      <c r="X745" t="s">
        <v>85</v>
      </c>
      <c r="Y745" s="8">
        <v>2</v>
      </c>
      <c r="Z745">
        <v>0</v>
      </c>
      <c r="AA745">
        <v>0</v>
      </c>
      <c r="AB745">
        <v>0</v>
      </c>
      <c r="AC745" s="5">
        <v>2017</v>
      </c>
      <c r="AD745" s="1">
        <v>2018</v>
      </c>
      <c r="AE745" s="6">
        <v>1</v>
      </c>
      <c r="AF745">
        <v>1</v>
      </c>
      <c r="AG745" t="s">
        <v>64</v>
      </c>
      <c r="AH745" t="s">
        <v>64</v>
      </c>
    </row>
    <row r="746" spans="1:34" s="9" customFormat="1" ht="15" customHeight="1">
      <c r="A746" s="9" t="s">
        <v>1197</v>
      </c>
      <c r="B746" s="9" t="s">
        <v>1198</v>
      </c>
      <c r="C746" s="10">
        <v>7</v>
      </c>
      <c r="D746" s="9" t="s">
        <v>38</v>
      </c>
      <c r="E746" s="9" t="s">
        <v>38</v>
      </c>
      <c r="F746" s="9" t="s">
        <v>39</v>
      </c>
      <c r="G746" s="9" t="s">
        <v>40</v>
      </c>
      <c r="H746" s="9" t="s">
        <v>41</v>
      </c>
      <c r="I746" s="9" t="s">
        <v>185</v>
      </c>
      <c r="J746" s="9" t="s">
        <v>42</v>
      </c>
      <c r="K746" s="9" t="s">
        <v>42</v>
      </c>
      <c r="L746" s="9" t="s">
        <v>42</v>
      </c>
      <c r="M746" s="10" t="s">
        <v>42</v>
      </c>
      <c r="N746" s="40" t="s">
        <v>43</v>
      </c>
      <c r="O746" s="9" t="s">
        <v>44</v>
      </c>
      <c r="P746" s="40" t="s">
        <v>1205</v>
      </c>
      <c r="Q746" s="9" t="s">
        <v>200</v>
      </c>
      <c r="R746" s="9" t="s">
        <v>1202</v>
      </c>
      <c r="S746" s="9" t="s">
        <v>48</v>
      </c>
      <c r="T746" s="9" t="s">
        <v>204</v>
      </c>
      <c r="U746" s="9" t="s">
        <v>42</v>
      </c>
      <c r="V746" s="9" t="s">
        <v>42</v>
      </c>
      <c r="W746" s="11" t="s">
        <v>50</v>
      </c>
      <c r="X746" t="s">
        <v>1203</v>
      </c>
      <c r="Y746" s="11">
        <v>2</v>
      </c>
      <c r="Z746" s="9">
        <v>0</v>
      </c>
      <c r="AA746" s="9">
        <v>0</v>
      </c>
      <c r="AB746" s="9">
        <v>0</v>
      </c>
      <c r="AC746" s="12">
        <v>2017</v>
      </c>
      <c r="AD746" s="10">
        <v>2018</v>
      </c>
      <c r="AE746" s="13">
        <v>1</v>
      </c>
      <c r="AF746" s="9">
        <v>1</v>
      </c>
      <c r="AG746" s="9" t="s">
        <v>64</v>
      </c>
      <c r="AH746" s="9" t="s">
        <v>64</v>
      </c>
    </row>
    <row r="747" spans="1:34" ht="15" customHeight="1">
      <c r="A747" t="s">
        <v>1206</v>
      </c>
      <c r="B747" t="s">
        <v>1207</v>
      </c>
      <c r="C747" s="1">
        <v>1</v>
      </c>
      <c r="D747" t="s">
        <v>426</v>
      </c>
      <c r="E747" t="s">
        <v>426</v>
      </c>
      <c r="F747" t="s">
        <v>39</v>
      </c>
      <c r="G747" t="s">
        <v>40</v>
      </c>
      <c r="H747" t="s">
        <v>427</v>
      </c>
      <c r="I747" t="s">
        <v>444</v>
      </c>
      <c r="J747" t="s">
        <v>42</v>
      </c>
      <c r="K747" t="s">
        <v>42</v>
      </c>
      <c r="L747" t="s">
        <v>42</v>
      </c>
      <c r="M747" t="s">
        <v>42</v>
      </c>
      <c r="N747" s="39" t="s">
        <v>430</v>
      </c>
      <c r="O747" t="s">
        <v>44</v>
      </c>
      <c r="P747" s="39" t="s">
        <v>434</v>
      </c>
      <c r="Q747" t="s">
        <v>42</v>
      </c>
      <c r="R747" t="s">
        <v>42</v>
      </c>
      <c r="S747" t="s">
        <v>42</v>
      </c>
      <c r="T747" t="s">
        <v>42</v>
      </c>
      <c r="U747" t="s">
        <v>42</v>
      </c>
      <c r="V747" t="s">
        <v>42</v>
      </c>
      <c r="W747" s="8" t="s">
        <v>50</v>
      </c>
      <c r="X747" t="s">
        <v>1208</v>
      </c>
      <c r="Y747" s="8">
        <v>2</v>
      </c>
      <c r="Z747">
        <v>0</v>
      </c>
      <c r="AA747">
        <v>0</v>
      </c>
      <c r="AB747">
        <v>0</v>
      </c>
      <c r="AC747" s="5">
        <v>2012</v>
      </c>
      <c r="AD747" s="1">
        <v>2012</v>
      </c>
      <c r="AE747" s="6" t="s">
        <v>72</v>
      </c>
      <c r="AF747">
        <v>1</v>
      </c>
      <c r="AG747" t="s">
        <v>64</v>
      </c>
      <c r="AH747" s="1" t="s">
        <v>64</v>
      </c>
    </row>
    <row r="748" spans="1:34" ht="15" customHeight="1">
      <c r="A748" t="s">
        <v>1206</v>
      </c>
      <c r="B748" t="s">
        <v>1207</v>
      </c>
      <c r="C748" s="1">
        <v>2</v>
      </c>
      <c r="D748" t="s">
        <v>426</v>
      </c>
      <c r="E748" t="s">
        <v>426</v>
      </c>
      <c r="F748" t="s">
        <v>39</v>
      </c>
      <c r="G748" t="s">
        <v>40</v>
      </c>
      <c r="H748" t="s">
        <v>427</v>
      </c>
      <c r="I748" t="s">
        <v>444</v>
      </c>
      <c r="J748" t="s">
        <v>42</v>
      </c>
      <c r="K748" t="s">
        <v>42</v>
      </c>
      <c r="L748" t="s">
        <v>42</v>
      </c>
      <c r="M748" t="s">
        <v>42</v>
      </c>
      <c r="N748" s="39" t="s">
        <v>430</v>
      </c>
      <c r="O748" t="s">
        <v>44</v>
      </c>
      <c r="P748" s="39" t="s">
        <v>436</v>
      </c>
      <c r="Q748" t="s">
        <v>42</v>
      </c>
      <c r="R748" t="s">
        <v>42</v>
      </c>
      <c r="S748" t="s">
        <v>1209</v>
      </c>
      <c r="T748" t="s">
        <v>42</v>
      </c>
      <c r="U748" t="s">
        <v>42</v>
      </c>
      <c r="V748" t="s">
        <v>42</v>
      </c>
      <c r="W748" s="8" t="s">
        <v>50</v>
      </c>
      <c r="X748" t="s">
        <v>1210</v>
      </c>
      <c r="Y748" s="8">
        <v>2</v>
      </c>
      <c r="Z748">
        <v>0</v>
      </c>
      <c r="AA748">
        <v>0</v>
      </c>
      <c r="AB748">
        <v>0</v>
      </c>
      <c r="AC748" s="5">
        <v>2012</v>
      </c>
      <c r="AD748" s="1">
        <v>2012</v>
      </c>
      <c r="AE748" s="6" t="s">
        <v>72</v>
      </c>
      <c r="AF748">
        <v>1</v>
      </c>
      <c r="AG748" t="s">
        <v>64</v>
      </c>
      <c r="AH748" s="1" t="s">
        <v>64</v>
      </c>
    </row>
    <row r="749" spans="1:34" ht="15" customHeight="1">
      <c r="A749" t="s">
        <v>1206</v>
      </c>
      <c r="B749" t="s">
        <v>1207</v>
      </c>
      <c r="C749" s="1">
        <v>3</v>
      </c>
      <c r="D749" t="s">
        <v>426</v>
      </c>
      <c r="E749" t="s">
        <v>426</v>
      </c>
      <c r="F749" t="s">
        <v>39</v>
      </c>
      <c r="G749" t="s">
        <v>40</v>
      </c>
      <c r="H749" t="s">
        <v>427</v>
      </c>
      <c r="I749" t="s">
        <v>444</v>
      </c>
      <c r="J749" t="s">
        <v>42</v>
      </c>
      <c r="K749" t="s">
        <v>42</v>
      </c>
      <c r="L749" t="s">
        <v>42</v>
      </c>
      <c r="M749" t="s">
        <v>42</v>
      </c>
      <c r="N749" s="39" t="s">
        <v>430</v>
      </c>
      <c r="O749" t="s">
        <v>44</v>
      </c>
      <c r="P749" s="39" t="s">
        <v>493</v>
      </c>
      <c r="Q749" t="s">
        <v>42</v>
      </c>
      <c r="R749" t="s">
        <v>42</v>
      </c>
      <c r="S749" t="s">
        <v>1209</v>
      </c>
      <c r="T749" t="s">
        <v>42</v>
      </c>
      <c r="U749" t="s">
        <v>42</v>
      </c>
      <c r="V749" t="s">
        <v>42</v>
      </c>
      <c r="W749" s="8" t="s">
        <v>64</v>
      </c>
      <c r="X749" t="s">
        <v>1210</v>
      </c>
      <c r="Y749" s="8">
        <v>2</v>
      </c>
      <c r="Z749">
        <v>0</v>
      </c>
      <c r="AA749">
        <v>0</v>
      </c>
      <c r="AB749">
        <v>0</v>
      </c>
      <c r="AC749" s="5">
        <v>2012</v>
      </c>
      <c r="AD749" s="1">
        <v>2012</v>
      </c>
      <c r="AE749" s="6" t="s">
        <v>72</v>
      </c>
      <c r="AF749">
        <v>1</v>
      </c>
      <c r="AG749" t="s">
        <v>64</v>
      </c>
      <c r="AH749" s="1" t="s">
        <v>64</v>
      </c>
    </row>
    <row r="750" spans="1:34" ht="15" customHeight="1">
      <c r="A750" t="s">
        <v>1206</v>
      </c>
      <c r="B750" t="s">
        <v>1207</v>
      </c>
      <c r="C750" s="1">
        <v>4</v>
      </c>
      <c r="D750" t="s">
        <v>426</v>
      </c>
      <c r="E750" t="s">
        <v>426</v>
      </c>
      <c r="F750" t="s">
        <v>39</v>
      </c>
      <c r="G750" t="s">
        <v>40</v>
      </c>
      <c r="H750" t="s">
        <v>427</v>
      </c>
      <c r="I750" t="s">
        <v>444</v>
      </c>
      <c r="J750" t="s">
        <v>42</v>
      </c>
      <c r="K750" t="s">
        <v>42</v>
      </c>
      <c r="L750" t="s">
        <v>42</v>
      </c>
      <c r="M750" t="s">
        <v>42</v>
      </c>
      <c r="N750" s="39" t="s">
        <v>430</v>
      </c>
      <c r="O750" t="s">
        <v>44</v>
      </c>
      <c r="P750" s="39" t="s">
        <v>435</v>
      </c>
      <c r="Q750" t="s">
        <v>42</v>
      </c>
      <c r="R750" t="s">
        <v>42</v>
      </c>
      <c r="S750" t="s">
        <v>1209</v>
      </c>
      <c r="T750" t="s">
        <v>42</v>
      </c>
      <c r="U750" t="s">
        <v>42</v>
      </c>
      <c r="V750" t="s">
        <v>42</v>
      </c>
      <c r="W750" s="8" t="s">
        <v>64</v>
      </c>
      <c r="X750" t="s">
        <v>1210</v>
      </c>
      <c r="Y750" s="8">
        <v>2</v>
      </c>
      <c r="Z750">
        <v>0</v>
      </c>
      <c r="AA750">
        <v>0</v>
      </c>
      <c r="AB750">
        <v>0</v>
      </c>
      <c r="AC750" s="5">
        <v>2012</v>
      </c>
      <c r="AD750" s="1">
        <v>2012</v>
      </c>
      <c r="AE750" s="6" t="s">
        <v>72</v>
      </c>
      <c r="AF750">
        <v>1</v>
      </c>
      <c r="AG750" t="s">
        <v>64</v>
      </c>
      <c r="AH750" s="1" t="s">
        <v>64</v>
      </c>
    </row>
    <row r="751" spans="1:34" ht="15" customHeight="1">
      <c r="A751" t="s">
        <v>1206</v>
      </c>
      <c r="B751" t="s">
        <v>1207</v>
      </c>
      <c r="C751" s="1">
        <v>5</v>
      </c>
      <c r="D751" t="s">
        <v>426</v>
      </c>
      <c r="E751" t="s">
        <v>426</v>
      </c>
      <c r="F751" t="s">
        <v>39</v>
      </c>
      <c r="G751" t="s">
        <v>40</v>
      </c>
      <c r="H751" t="s">
        <v>427</v>
      </c>
      <c r="I751" t="s">
        <v>444</v>
      </c>
      <c r="J751" t="s">
        <v>42</v>
      </c>
      <c r="K751" t="s">
        <v>42</v>
      </c>
      <c r="L751" t="s">
        <v>42</v>
      </c>
      <c r="M751" t="s">
        <v>42</v>
      </c>
      <c r="N751" s="39" t="s">
        <v>430</v>
      </c>
      <c r="O751" t="s">
        <v>44</v>
      </c>
      <c r="P751" s="39" t="s">
        <v>473</v>
      </c>
      <c r="Q751" t="s">
        <v>42</v>
      </c>
      <c r="R751" t="s">
        <v>42</v>
      </c>
      <c r="S751" t="s">
        <v>1209</v>
      </c>
      <c r="T751" t="s">
        <v>42</v>
      </c>
      <c r="U751" t="s">
        <v>42</v>
      </c>
      <c r="V751" t="s">
        <v>42</v>
      </c>
      <c r="W751" s="8" t="s">
        <v>64</v>
      </c>
      <c r="X751" t="s">
        <v>1210</v>
      </c>
      <c r="Y751" s="8">
        <v>2</v>
      </c>
      <c r="Z751">
        <v>0</v>
      </c>
      <c r="AA751">
        <v>0</v>
      </c>
      <c r="AB751">
        <v>0</v>
      </c>
      <c r="AC751" s="5">
        <v>2012</v>
      </c>
      <c r="AD751" s="1">
        <v>2012</v>
      </c>
      <c r="AE751" s="6" t="s">
        <v>72</v>
      </c>
      <c r="AF751">
        <v>1</v>
      </c>
      <c r="AG751" t="s">
        <v>64</v>
      </c>
      <c r="AH751" s="1" t="s">
        <v>64</v>
      </c>
    </row>
    <row r="752" spans="1:34" ht="15" customHeight="1">
      <c r="A752" t="s">
        <v>1206</v>
      </c>
      <c r="B752" t="s">
        <v>1207</v>
      </c>
      <c r="C752" s="1">
        <v>6</v>
      </c>
      <c r="D752" t="s">
        <v>426</v>
      </c>
      <c r="E752" t="s">
        <v>426</v>
      </c>
      <c r="F752" t="s">
        <v>39</v>
      </c>
      <c r="G752" t="s">
        <v>40</v>
      </c>
      <c r="H752" t="s">
        <v>427</v>
      </c>
      <c r="I752" t="s">
        <v>444</v>
      </c>
      <c r="J752" t="s">
        <v>42</v>
      </c>
      <c r="K752" t="s">
        <v>42</v>
      </c>
      <c r="L752" t="s">
        <v>42</v>
      </c>
      <c r="M752" t="s">
        <v>42</v>
      </c>
      <c r="N752" s="39" t="s">
        <v>430</v>
      </c>
      <c r="O752" t="s">
        <v>44</v>
      </c>
      <c r="P752" s="39" t="s">
        <v>459</v>
      </c>
      <c r="Q752" t="s">
        <v>42</v>
      </c>
      <c r="R752" t="s">
        <v>42</v>
      </c>
      <c r="S752" t="s">
        <v>1209</v>
      </c>
      <c r="T752" t="s">
        <v>42</v>
      </c>
      <c r="U752" t="s">
        <v>42</v>
      </c>
      <c r="V752" t="s">
        <v>42</v>
      </c>
      <c r="W752" s="8" t="s">
        <v>64</v>
      </c>
      <c r="X752" t="s">
        <v>1210</v>
      </c>
      <c r="Y752" s="8">
        <v>2</v>
      </c>
      <c r="Z752">
        <v>0</v>
      </c>
      <c r="AA752">
        <v>0</v>
      </c>
      <c r="AB752">
        <v>0</v>
      </c>
      <c r="AC752" s="5">
        <v>2012</v>
      </c>
      <c r="AD752" s="1">
        <v>2012</v>
      </c>
      <c r="AE752" s="6" t="s">
        <v>72</v>
      </c>
      <c r="AF752">
        <v>1</v>
      </c>
      <c r="AG752" t="s">
        <v>64</v>
      </c>
      <c r="AH752" s="1" t="s">
        <v>64</v>
      </c>
    </row>
    <row r="753" spans="1:34" s="9" customFormat="1" ht="15" customHeight="1">
      <c r="A753" s="9" t="s">
        <v>1206</v>
      </c>
      <c r="B753" s="9" t="s">
        <v>1207</v>
      </c>
      <c r="C753" s="10">
        <v>7</v>
      </c>
      <c r="D753" s="9" t="s">
        <v>426</v>
      </c>
      <c r="E753" s="9" t="s">
        <v>426</v>
      </c>
      <c r="F753" s="9" t="s">
        <v>39</v>
      </c>
      <c r="G753" s="9" t="s">
        <v>40</v>
      </c>
      <c r="H753" s="9" t="s">
        <v>427</v>
      </c>
      <c r="I753" s="9" t="s">
        <v>444</v>
      </c>
      <c r="J753" s="9" t="s">
        <v>42</v>
      </c>
      <c r="K753" s="9" t="s">
        <v>42</v>
      </c>
      <c r="L753" s="9" t="s">
        <v>42</v>
      </c>
      <c r="M753" s="9" t="s">
        <v>42</v>
      </c>
      <c r="N753" s="40" t="s">
        <v>430</v>
      </c>
      <c r="O753" s="9" t="s">
        <v>44</v>
      </c>
      <c r="P753" s="40" t="s">
        <v>431</v>
      </c>
      <c r="Q753" s="9" t="s">
        <v>42</v>
      </c>
      <c r="R753" s="9" t="s">
        <v>42</v>
      </c>
      <c r="S753" s="9" t="s">
        <v>1211</v>
      </c>
      <c r="T753" s="9" t="s">
        <v>42</v>
      </c>
      <c r="U753" s="9" t="s">
        <v>42</v>
      </c>
      <c r="V753" s="9" t="s">
        <v>42</v>
      </c>
      <c r="W753" s="11" t="s">
        <v>50</v>
      </c>
      <c r="X753" s="9" t="s">
        <v>1212</v>
      </c>
      <c r="Y753" s="11">
        <v>2</v>
      </c>
      <c r="Z753" s="9">
        <v>0</v>
      </c>
      <c r="AA753" s="9">
        <v>0</v>
      </c>
      <c r="AB753" s="9">
        <v>0</v>
      </c>
      <c r="AC753" s="12">
        <v>2012</v>
      </c>
      <c r="AD753" s="10">
        <v>2012</v>
      </c>
      <c r="AE753" s="13" t="s">
        <v>72</v>
      </c>
      <c r="AF753" s="9">
        <v>1</v>
      </c>
      <c r="AG753" s="9" t="s">
        <v>64</v>
      </c>
      <c r="AH753" s="10" t="s">
        <v>64</v>
      </c>
    </row>
    <row r="754" spans="1:34" ht="15" customHeight="1">
      <c r="A754" t="s">
        <v>1213</v>
      </c>
      <c r="B754" t="s">
        <v>1214</v>
      </c>
      <c r="C754" s="1">
        <v>1</v>
      </c>
      <c r="D754" t="s">
        <v>426</v>
      </c>
      <c r="E754" t="s">
        <v>426</v>
      </c>
      <c r="F754" t="s">
        <v>116</v>
      </c>
      <c r="G754" t="s">
        <v>40</v>
      </c>
      <c r="H754" t="s">
        <v>42</v>
      </c>
      <c r="I754" t="s">
        <v>42</v>
      </c>
      <c r="J754" t="s">
        <v>42</v>
      </c>
      <c r="K754" t="s">
        <v>429</v>
      </c>
      <c r="L754" t="s">
        <v>42</v>
      </c>
      <c r="M754" t="s">
        <v>42</v>
      </c>
      <c r="N754" s="39" t="s">
        <v>359</v>
      </c>
      <c r="O754" t="s">
        <v>86</v>
      </c>
      <c r="P754" s="39" t="s">
        <v>1215</v>
      </c>
      <c r="Q754" t="s">
        <v>42</v>
      </c>
      <c r="R754" t="s">
        <v>42</v>
      </c>
      <c r="S754" t="s">
        <v>656</v>
      </c>
      <c r="T754" t="s">
        <v>42</v>
      </c>
      <c r="U754" t="s">
        <v>42</v>
      </c>
      <c r="V754" t="s">
        <v>42</v>
      </c>
      <c r="W754" s="8" t="s">
        <v>64</v>
      </c>
      <c r="X754" t="s">
        <v>42</v>
      </c>
      <c r="Y754" s="8" t="s">
        <v>659</v>
      </c>
      <c r="Z754">
        <v>0</v>
      </c>
      <c r="AA754">
        <v>0</v>
      </c>
      <c r="AB754">
        <v>0</v>
      </c>
      <c r="AC754" s="5">
        <v>2008</v>
      </c>
      <c r="AD754" s="1">
        <v>2018</v>
      </c>
      <c r="AE754" s="6">
        <v>10</v>
      </c>
      <c r="AF754">
        <v>1</v>
      </c>
      <c r="AG754" t="s">
        <v>64</v>
      </c>
      <c r="AH754" s="1" t="s">
        <v>64</v>
      </c>
    </row>
    <row r="755" spans="1:34" ht="15" customHeight="1">
      <c r="A755" t="s">
        <v>1213</v>
      </c>
      <c r="B755" t="s">
        <v>1214</v>
      </c>
      <c r="C755" s="1">
        <v>2</v>
      </c>
      <c r="D755" t="s">
        <v>426</v>
      </c>
      <c r="E755" t="s">
        <v>426</v>
      </c>
      <c r="F755" t="s">
        <v>116</v>
      </c>
      <c r="G755" t="s">
        <v>40</v>
      </c>
      <c r="H755" t="s">
        <v>42</v>
      </c>
      <c r="I755" t="s">
        <v>42</v>
      </c>
      <c r="J755" t="s">
        <v>42</v>
      </c>
      <c r="K755" t="s">
        <v>429</v>
      </c>
      <c r="L755" t="s">
        <v>42</v>
      </c>
      <c r="M755" t="s">
        <v>42</v>
      </c>
      <c r="N755" s="39" t="s">
        <v>359</v>
      </c>
      <c r="O755" t="s">
        <v>86</v>
      </c>
      <c r="P755" s="39" t="s">
        <v>1215</v>
      </c>
      <c r="Q755" t="s">
        <v>42</v>
      </c>
      <c r="R755" t="s">
        <v>42</v>
      </c>
      <c r="S755" t="s">
        <v>88</v>
      </c>
      <c r="T755" t="s">
        <v>42</v>
      </c>
      <c r="U755" t="s">
        <v>42</v>
      </c>
      <c r="V755" t="s">
        <v>42</v>
      </c>
      <c r="W755" s="8" t="s">
        <v>64</v>
      </c>
      <c r="X755" t="s">
        <v>42</v>
      </c>
      <c r="Y755" s="8" t="s">
        <v>659</v>
      </c>
      <c r="Z755">
        <v>0</v>
      </c>
      <c r="AA755">
        <v>0</v>
      </c>
      <c r="AB755">
        <v>0</v>
      </c>
      <c r="AC755" s="5">
        <v>2008</v>
      </c>
      <c r="AD755" s="1">
        <v>2018</v>
      </c>
      <c r="AE755" s="6">
        <v>10</v>
      </c>
      <c r="AF755">
        <v>1</v>
      </c>
      <c r="AG755" t="s">
        <v>64</v>
      </c>
      <c r="AH755" s="1" t="s">
        <v>64</v>
      </c>
    </row>
    <row r="756" spans="1:34" ht="15" customHeight="1">
      <c r="A756" t="s">
        <v>1213</v>
      </c>
      <c r="B756" t="s">
        <v>1214</v>
      </c>
      <c r="C756" s="1">
        <v>3</v>
      </c>
      <c r="D756" t="s">
        <v>426</v>
      </c>
      <c r="E756" t="s">
        <v>426</v>
      </c>
      <c r="F756" t="s">
        <v>116</v>
      </c>
      <c r="G756" t="s">
        <v>40</v>
      </c>
      <c r="H756" t="s">
        <v>42</v>
      </c>
      <c r="I756" t="s">
        <v>42</v>
      </c>
      <c r="J756" t="s">
        <v>42</v>
      </c>
      <c r="K756" t="s">
        <v>429</v>
      </c>
      <c r="L756" t="s">
        <v>42</v>
      </c>
      <c r="M756" t="s">
        <v>42</v>
      </c>
      <c r="N756" s="39" t="s">
        <v>359</v>
      </c>
      <c r="O756" t="s">
        <v>86</v>
      </c>
      <c r="P756" s="39" t="s">
        <v>1215</v>
      </c>
      <c r="Q756" t="s">
        <v>42</v>
      </c>
      <c r="R756" t="s">
        <v>42</v>
      </c>
      <c r="S756" t="s">
        <v>1216</v>
      </c>
      <c r="T756" t="s">
        <v>42</v>
      </c>
      <c r="U756" t="s">
        <v>42</v>
      </c>
      <c r="V756" t="s">
        <v>42</v>
      </c>
      <c r="W756" s="8" t="s">
        <v>64</v>
      </c>
      <c r="X756" t="s">
        <v>42</v>
      </c>
      <c r="Y756" s="8" t="s">
        <v>659</v>
      </c>
      <c r="Z756">
        <v>0</v>
      </c>
      <c r="AA756">
        <v>0</v>
      </c>
      <c r="AB756">
        <v>0</v>
      </c>
      <c r="AC756" s="5">
        <v>2008</v>
      </c>
      <c r="AD756" s="1">
        <v>2018</v>
      </c>
      <c r="AE756" s="6">
        <v>10</v>
      </c>
      <c r="AF756">
        <v>1</v>
      </c>
      <c r="AG756" t="s">
        <v>64</v>
      </c>
      <c r="AH756" s="1" t="s">
        <v>64</v>
      </c>
    </row>
    <row r="757" spans="1:34" s="9" customFormat="1" ht="15" customHeight="1">
      <c r="A757" s="9" t="s">
        <v>1213</v>
      </c>
      <c r="B757" s="9" t="s">
        <v>1214</v>
      </c>
      <c r="C757" s="10">
        <v>4</v>
      </c>
      <c r="D757" s="9" t="s">
        <v>426</v>
      </c>
      <c r="E757" s="9" t="s">
        <v>426</v>
      </c>
      <c r="F757" s="9" t="s">
        <v>116</v>
      </c>
      <c r="G757" s="9" t="s">
        <v>40</v>
      </c>
      <c r="H757" s="9" t="s">
        <v>42</v>
      </c>
      <c r="I757" s="9" t="s">
        <v>42</v>
      </c>
      <c r="J757" s="9" t="s">
        <v>42</v>
      </c>
      <c r="K757" s="9" t="s">
        <v>429</v>
      </c>
      <c r="L757" s="9" t="s">
        <v>42</v>
      </c>
      <c r="M757" s="9" t="s">
        <v>42</v>
      </c>
      <c r="N757" s="40" t="s">
        <v>463</v>
      </c>
      <c r="O757" s="9" t="s">
        <v>86</v>
      </c>
      <c r="P757" s="40" t="s">
        <v>1217</v>
      </c>
      <c r="Q757" s="9" t="s">
        <v>42</v>
      </c>
      <c r="R757" s="9" t="s">
        <v>42</v>
      </c>
      <c r="S757" s="9" t="s">
        <v>1216</v>
      </c>
      <c r="T757" s="9" t="s">
        <v>1218</v>
      </c>
      <c r="U757" s="9" t="s">
        <v>42</v>
      </c>
      <c r="V757" s="9" t="s">
        <v>1219</v>
      </c>
      <c r="W757" s="11" t="s">
        <v>64</v>
      </c>
      <c r="X757" s="9" t="s">
        <v>42</v>
      </c>
      <c r="Y757" s="8" t="s">
        <v>659</v>
      </c>
      <c r="Z757" s="9">
        <v>0</v>
      </c>
      <c r="AA757" s="9">
        <v>0</v>
      </c>
      <c r="AB757" s="9">
        <v>0</v>
      </c>
      <c r="AC757" s="12">
        <v>2008</v>
      </c>
      <c r="AD757" s="10">
        <v>2018</v>
      </c>
      <c r="AE757" s="13">
        <v>10</v>
      </c>
      <c r="AF757" s="9">
        <v>1</v>
      </c>
      <c r="AG757" s="9" t="s">
        <v>64</v>
      </c>
      <c r="AH757" s="10" t="s">
        <v>64</v>
      </c>
    </row>
    <row r="758" spans="1:34" ht="15" customHeight="1">
      <c r="A758" t="s">
        <v>1220</v>
      </c>
      <c r="B758" t="s">
        <v>1221</v>
      </c>
      <c r="C758" s="1">
        <v>1</v>
      </c>
      <c r="D758" t="s">
        <v>397</v>
      </c>
      <c r="E758" t="s">
        <v>397</v>
      </c>
      <c r="F758" t="s">
        <v>123</v>
      </c>
      <c r="G758" t="s">
        <v>40</v>
      </c>
      <c r="H758" t="s">
        <v>444</v>
      </c>
      <c r="I758" t="s">
        <v>91</v>
      </c>
      <c r="J758" t="s">
        <v>42</v>
      </c>
      <c r="K758" t="s">
        <v>353</v>
      </c>
      <c r="L758" t="s">
        <v>1222</v>
      </c>
      <c r="M758" s="1" t="s">
        <v>42</v>
      </c>
      <c r="N758" s="39" t="s">
        <v>399</v>
      </c>
      <c r="O758" t="s">
        <v>44</v>
      </c>
      <c r="P758" s="39" t="s">
        <v>399</v>
      </c>
      <c r="Q758" t="s">
        <v>108</v>
      </c>
      <c r="R758" t="s">
        <v>109</v>
      </c>
      <c r="S758" t="s">
        <v>1195</v>
      </c>
      <c r="T758" t="s">
        <v>1223</v>
      </c>
      <c r="U758" t="s">
        <v>1224</v>
      </c>
      <c r="V758" t="s">
        <v>42</v>
      </c>
      <c r="W758" s="8" t="s">
        <v>50</v>
      </c>
      <c r="X758" t="s">
        <v>1225</v>
      </c>
      <c r="Y758" s="8">
        <v>0</v>
      </c>
      <c r="Z758">
        <v>3</v>
      </c>
      <c r="AA758">
        <v>2</v>
      </c>
      <c r="AB758">
        <v>0</v>
      </c>
      <c r="AC758" s="5">
        <v>1996</v>
      </c>
      <c r="AD758" s="1">
        <v>2013</v>
      </c>
      <c r="AE758" s="6">
        <f>AD758-AC758</f>
        <v>17</v>
      </c>
      <c r="AF758">
        <v>2</v>
      </c>
      <c r="AG758" t="s">
        <v>50</v>
      </c>
      <c r="AH758" s="1" t="s">
        <v>64</v>
      </c>
    </row>
    <row r="759" spans="1:34" ht="15" customHeight="1">
      <c r="A759" t="s">
        <v>1220</v>
      </c>
      <c r="B759" t="s">
        <v>1221</v>
      </c>
      <c r="C759" s="1">
        <v>2</v>
      </c>
      <c r="D759" t="s">
        <v>397</v>
      </c>
      <c r="E759" t="s">
        <v>397</v>
      </c>
      <c r="F759" t="s">
        <v>123</v>
      </c>
      <c r="G759" t="s">
        <v>40</v>
      </c>
      <c r="H759" t="s">
        <v>444</v>
      </c>
      <c r="I759" t="s">
        <v>91</v>
      </c>
      <c r="J759" t="s">
        <v>42</v>
      </c>
      <c r="K759" t="s">
        <v>353</v>
      </c>
      <c r="L759" t="s">
        <v>1222</v>
      </c>
      <c r="M759" s="1" t="s">
        <v>42</v>
      </c>
      <c r="N759" s="39" t="s">
        <v>399</v>
      </c>
      <c r="O759" t="s">
        <v>44</v>
      </c>
      <c r="P759" s="39" t="s">
        <v>399</v>
      </c>
      <c r="Q759" t="s">
        <v>94</v>
      </c>
      <c r="R759" t="s">
        <v>113</v>
      </c>
      <c r="S759" t="s">
        <v>1226</v>
      </c>
      <c r="T759" t="s">
        <v>1223</v>
      </c>
      <c r="U759" t="s">
        <v>1224</v>
      </c>
      <c r="V759" t="s">
        <v>42</v>
      </c>
      <c r="W759" s="8" t="s">
        <v>50</v>
      </c>
      <c r="X759" t="s">
        <v>1225</v>
      </c>
      <c r="Y759" s="8">
        <v>0</v>
      </c>
      <c r="Z759">
        <v>3</v>
      </c>
      <c r="AA759">
        <v>2</v>
      </c>
      <c r="AB759">
        <v>0</v>
      </c>
      <c r="AC759" s="5">
        <v>1996</v>
      </c>
      <c r="AD759" s="1">
        <v>2013</v>
      </c>
      <c r="AE759" s="6">
        <f>AD759-AC759</f>
        <v>17</v>
      </c>
      <c r="AF759">
        <v>2</v>
      </c>
      <c r="AG759" t="s">
        <v>50</v>
      </c>
      <c r="AH759" s="1" t="s">
        <v>64</v>
      </c>
    </row>
    <row r="760" spans="1:34" ht="15" customHeight="1">
      <c r="A760" t="s">
        <v>1220</v>
      </c>
      <c r="B760" t="s">
        <v>1221</v>
      </c>
      <c r="C760" s="1">
        <v>3</v>
      </c>
      <c r="D760" t="s">
        <v>397</v>
      </c>
      <c r="E760" t="s">
        <v>397</v>
      </c>
      <c r="F760" t="s">
        <v>123</v>
      </c>
      <c r="G760" t="s">
        <v>40</v>
      </c>
      <c r="H760" t="s">
        <v>91</v>
      </c>
      <c r="I760" t="s">
        <v>42</v>
      </c>
      <c r="J760" t="s">
        <v>42</v>
      </c>
      <c r="K760" t="s">
        <v>353</v>
      </c>
      <c r="L760" t="s">
        <v>1222</v>
      </c>
      <c r="M760" s="1" t="s">
        <v>42</v>
      </c>
      <c r="N760" s="39" t="s">
        <v>402</v>
      </c>
      <c r="O760" t="s">
        <v>86</v>
      </c>
      <c r="P760" s="39" t="s">
        <v>1227</v>
      </c>
      <c r="Q760" t="s">
        <v>108</v>
      </c>
      <c r="R760" t="s">
        <v>109</v>
      </c>
      <c r="S760" t="s">
        <v>508</v>
      </c>
      <c r="T760" t="s">
        <v>42</v>
      </c>
      <c r="U760" t="s">
        <v>42</v>
      </c>
      <c r="V760" t="s">
        <v>42</v>
      </c>
      <c r="W760" s="8" t="s">
        <v>64</v>
      </c>
      <c r="X760" t="s">
        <v>42</v>
      </c>
      <c r="Y760" s="8">
        <v>0</v>
      </c>
      <c r="Z760">
        <v>3</v>
      </c>
      <c r="AA760">
        <v>2</v>
      </c>
      <c r="AB760">
        <v>0</v>
      </c>
      <c r="AC760" s="5">
        <v>2013</v>
      </c>
      <c r="AD760" s="1">
        <v>2013</v>
      </c>
      <c r="AE760" s="6" t="s">
        <v>72</v>
      </c>
      <c r="AF760">
        <v>1</v>
      </c>
      <c r="AG760" t="s">
        <v>64</v>
      </c>
      <c r="AH760" s="1" t="s">
        <v>64</v>
      </c>
    </row>
    <row r="761" spans="1:34" ht="15" customHeight="1">
      <c r="A761" t="s">
        <v>1220</v>
      </c>
      <c r="B761" t="s">
        <v>1221</v>
      </c>
      <c r="C761" s="1">
        <v>4</v>
      </c>
      <c r="D761" t="s">
        <v>397</v>
      </c>
      <c r="E761" t="s">
        <v>397</v>
      </c>
      <c r="F761" t="s">
        <v>123</v>
      </c>
      <c r="G761" t="s">
        <v>40</v>
      </c>
      <c r="H761" t="s">
        <v>91</v>
      </c>
      <c r="I761" t="s">
        <v>42</v>
      </c>
      <c r="J761" t="s">
        <v>42</v>
      </c>
      <c r="K761" t="s">
        <v>353</v>
      </c>
      <c r="L761" t="s">
        <v>1222</v>
      </c>
      <c r="M761" s="1" t="s">
        <v>42</v>
      </c>
      <c r="N761" s="39" t="s">
        <v>402</v>
      </c>
      <c r="O761" t="s">
        <v>86</v>
      </c>
      <c r="P761" s="39" t="s">
        <v>1227</v>
      </c>
      <c r="Q761" t="s">
        <v>94</v>
      </c>
      <c r="R761" t="s">
        <v>113</v>
      </c>
      <c r="S761" t="s">
        <v>508</v>
      </c>
      <c r="T761" t="s">
        <v>42</v>
      </c>
      <c r="U761" t="s">
        <v>42</v>
      </c>
      <c r="V761" t="s">
        <v>42</v>
      </c>
      <c r="W761" s="8" t="s">
        <v>64</v>
      </c>
      <c r="X761" t="s">
        <v>42</v>
      </c>
      <c r="Y761" s="8">
        <v>0</v>
      </c>
      <c r="Z761">
        <v>3</v>
      </c>
      <c r="AA761">
        <v>2</v>
      </c>
      <c r="AB761">
        <v>0</v>
      </c>
      <c r="AC761" s="5">
        <v>2013</v>
      </c>
      <c r="AD761" s="1">
        <v>2013</v>
      </c>
      <c r="AE761" s="6" t="s">
        <v>72</v>
      </c>
      <c r="AF761">
        <v>1</v>
      </c>
      <c r="AG761" t="s">
        <v>64</v>
      </c>
      <c r="AH761" s="1" t="s">
        <v>64</v>
      </c>
    </row>
    <row r="762" spans="1:34" s="9" customFormat="1" ht="15" customHeight="1">
      <c r="A762" s="9" t="s">
        <v>1220</v>
      </c>
      <c r="B762" s="9" t="s">
        <v>1221</v>
      </c>
      <c r="C762" s="10">
        <v>5</v>
      </c>
      <c r="D762" s="9" t="s">
        <v>397</v>
      </c>
      <c r="E762" s="9" t="s">
        <v>397</v>
      </c>
      <c r="F762" s="9" t="s">
        <v>123</v>
      </c>
      <c r="G762" s="9" t="s">
        <v>40</v>
      </c>
      <c r="H762" s="9" t="s">
        <v>91</v>
      </c>
      <c r="I762" s="9" t="s">
        <v>42</v>
      </c>
      <c r="J762" s="9" t="s">
        <v>42</v>
      </c>
      <c r="K762" s="9" t="s">
        <v>353</v>
      </c>
      <c r="L762" s="9" t="s">
        <v>1222</v>
      </c>
      <c r="M762" s="10" t="s">
        <v>42</v>
      </c>
      <c r="N762" s="40" t="s">
        <v>402</v>
      </c>
      <c r="O762" s="9" t="s">
        <v>86</v>
      </c>
      <c r="P762" s="40" t="s">
        <v>1227</v>
      </c>
      <c r="Q762" s="9" t="s">
        <v>102</v>
      </c>
      <c r="R762" t="s">
        <v>103</v>
      </c>
      <c r="S762" s="9" t="s">
        <v>508</v>
      </c>
      <c r="T762" t="s">
        <v>42</v>
      </c>
      <c r="U762" s="9" t="s">
        <v>42</v>
      </c>
      <c r="V762" s="9" t="s">
        <v>42</v>
      </c>
      <c r="W762" s="11" t="s">
        <v>64</v>
      </c>
      <c r="X762" s="9" t="s">
        <v>42</v>
      </c>
      <c r="Y762" s="11">
        <v>0</v>
      </c>
      <c r="Z762" s="9">
        <v>3</v>
      </c>
      <c r="AA762" s="9">
        <v>2</v>
      </c>
      <c r="AB762" s="9">
        <v>0</v>
      </c>
      <c r="AC762" s="12">
        <v>2013</v>
      </c>
      <c r="AD762" s="10">
        <v>2013</v>
      </c>
      <c r="AE762" s="13" t="s">
        <v>72</v>
      </c>
      <c r="AF762" s="9">
        <v>1</v>
      </c>
      <c r="AG762" s="9" t="s">
        <v>64</v>
      </c>
      <c r="AH762" s="10" t="s">
        <v>64</v>
      </c>
    </row>
    <row r="763" spans="1:34" ht="15" customHeight="1">
      <c r="A763" t="s">
        <v>1228</v>
      </c>
      <c r="B763" t="s">
        <v>1229</v>
      </c>
      <c r="C763" s="1">
        <v>1</v>
      </c>
      <c r="D763" t="s">
        <v>426</v>
      </c>
      <c r="E763" t="s">
        <v>426</v>
      </c>
      <c r="F763" t="s">
        <v>39</v>
      </c>
      <c r="G763" t="s">
        <v>40</v>
      </c>
      <c r="H763" t="s">
        <v>444</v>
      </c>
      <c r="I763" t="s">
        <v>42</v>
      </c>
      <c r="J763" t="s">
        <v>42</v>
      </c>
      <c r="K763" t="s">
        <v>42</v>
      </c>
      <c r="L763" t="s">
        <v>42</v>
      </c>
      <c r="M763" t="s">
        <v>42</v>
      </c>
      <c r="N763" s="39" t="s">
        <v>430</v>
      </c>
      <c r="O763" t="s">
        <v>44</v>
      </c>
      <c r="P763" s="39" t="s">
        <v>434</v>
      </c>
      <c r="Q763" t="s">
        <v>42</v>
      </c>
      <c r="R763" t="s">
        <v>42</v>
      </c>
      <c r="S763" t="s">
        <v>42</v>
      </c>
      <c r="T763" s="9" t="s">
        <v>1230</v>
      </c>
      <c r="U763" t="s">
        <v>519</v>
      </c>
      <c r="V763" t="s">
        <v>42</v>
      </c>
      <c r="W763" s="8" t="s">
        <v>50</v>
      </c>
      <c r="X763" t="s">
        <v>1208</v>
      </c>
      <c r="Y763" s="8">
        <v>0</v>
      </c>
      <c r="Z763">
        <v>0</v>
      </c>
      <c r="AA763">
        <v>0</v>
      </c>
      <c r="AB763">
        <f>21+16</f>
        <v>37</v>
      </c>
      <c r="AC763" s="5">
        <v>2008</v>
      </c>
      <c r="AD763" s="1">
        <v>2014</v>
      </c>
      <c r="AE763" s="6">
        <f>AD763-AC763</f>
        <v>6</v>
      </c>
      <c r="AF763">
        <v>2</v>
      </c>
      <c r="AG763" t="s">
        <v>64</v>
      </c>
      <c r="AH763" s="1" t="s">
        <v>64</v>
      </c>
    </row>
    <row r="764" spans="1:34" s="9" customFormat="1" ht="15" customHeight="1">
      <c r="A764" s="9" t="s">
        <v>1228</v>
      </c>
      <c r="B764" s="9" t="s">
        <v>1229</v>
      </c>
      <c r="C764" s="10">
        <v>2</v>
      </c>
      <c r="D764" s="9" t="s">
        <v>426</v>
      </c>
      <c r="E764" s="9" t="s">
        <v>426</v>
      </c>
      <c r="F764" s="9" t="s">
        <v>39</v>
      </c>
      <c r="G764" s="9" t="s">
        <v>40</v>
      </c>
      <c r="H764" s="9" t="s">
        <v>444</v>
      </c>
      <c r="I764" s="9" t="s">
        <v>42</v>
      </c>
      <c r="J764" s="9" t="s">
        <v>42</v>
      </c>
      <c r="K764" s="9" t="s">
        <v>42</v>
      </c>
      <c r="L764" s="9" t="s">
        <v>42</v>
      </c>
      <c r="M764" s="9" t="s">
        <v>42</v>
      </c>
      <c r="N764" s="40" t="s">
        <v>430</v>
      </c>
      <c r="O764" s="9" t="s">
        <v>44</v>
      </c>
      <c r="P764" s="40" t="s">
        <v>431</v>
      </c>
      <c r="Q764" s="9" t="s">
        <v>42</v>
      </c>
      <c r="R764" s="9" t="s">
        <v>42</v>
      </c>
      <c r="S764" s="9" t="s">
        <v>1231</v>
      </c>
      <c r="T764" s="9" t="s">
        <v>1230</v>
      </c>
      <c r="U764" s="9" t="s">
        <v>519</v>
      </c>
      <c r="V764" s="9" t="s">
        <v>42</v>
      </c>
      <c r="W764" s="11" t="s">
        <v>50</v>
      </c>
      <c r="X764" s="9" t="s">
        <v>1208</v>
      </c>
      <c r="Y764" s="11">
        <v>0</v>
      </c>
      <c r="Z764" s="9">
        <v>0</v>
      </c>
      <c r="AA764" s="9">
        <v>0</v>
      </c>
      <c r="AB764" s="9">
        <f>21+16</f>
        <v>37</v>
      </c>
      <c r="AC764" s="12">
        <v>2008</v>
      </c>
      <c r="AD764" s="10">
        <v>2014</v>
      </c>
      <c r="AE764" s="13">
        <f>AD764-AC764</f>
        <v>6</v>
      </c>
      <c r="AF764" s="9">
        <v>2</v>
      </c>
      <c r="AG764" s="9" t="s">
        <v>64</v>
      </c>
      <c r="AH764" s="10" t="s">
        <v>64</v>
      </c>
    </row>
    <row r="765" spans="1:34" ht="15" customHeight="1">
      <c r="A765" t="s">
        <v>1232</v>
      </c>
      <c r="B765" t="s">
        <v>1233</v>
      </c>
      <c r="C765" s="1">
        <v>1</v>
      </c>
      <c r="D765" t="s">
        <v>397</v>
      </c>
      <c r="E765" t="s">
        <v>397</v>
      </c>
      <c r="F765" t="s">
        <v>123</v>
      </c>
      <c r="G765" t="s">
        <v>40</v>
      </c>
      <c r="H765" t="s">
        <v>444</v>
      </c>
      <c r="I765" t="s">
        <v>91</v>
      </c>
      <c r="J765" t="s">
        <v>42</v>
      </c>
      <c r="K765" t="s">
        <v>1234</v>
      </c>
      <c r="L765" t="s">
        <v>42</v>
      </c>
      <c r="M765" s="1" t="s">
        <v>42</v>
      </c>
      <c r="N765" s="39" t="s">
        <v>399</v>
      </c>
      <c r="O765" t="s">
        <v>44</v>
      </c>
      <c r="P765" s="39" t="s">
        <v>399</v>
      </c>
      <c r="Q765" t="s">
        <v>108</v>
      </c>
      <c r="R765" t="s">
        <v>109</v>
      </c>
      <c r="S765" t="s">
        <v>1195</v>
      </c>
      <c r="T765" t="s">
        <v>1235</v>
      </c>
      <c r="U765" t="s">
        <v>993</v>
      </c>
      <c r="V765" t="s">
        <v>42</v>
      </c>
      <c r="W765" s="8" t="s">
        <v>50</v>
      </c>
      <c r="X765" t="s">
        <v>1236</v>
      </c>
      <c r="Y765" s="8">
        <v>0</v>
      </c>
      <c r="Z765">
        <v>12</v>
      </c>
      <c r="AA765">
        <v>6</v>
      </c>
      <c r="AB765">
        <v>0</v>
      </c>
      <c r="AC765" s="5">
        <v>2018</v>
      </c>
      <c r="AD765" s="1">
        <v>2020</v>
      </c>
      <c r="AE765" s="6">
        <v>2</v>
      </c>
      <c r="AF765">
        <v>1</v>
      </c>
      <c r="AG765" t="s">
        <v>64</v>
      </c>
      <c r="AH765" s="1" t="s">
        <v>64</v>
      </c>
    </row>
    <row r="766" spans="1:34" s="9" customFormat="1" ht="15" customHeight="1">
      <c r="A766" s="9" t="s">
        <v>1232</v>
      </c>
      <c r="B766" s="9" t="s">
        <v>1233</v>
      </c>
      <c r="C766" s="10">
        <v>2</v>
      </c>
      <c r="D766" s="9" t="s">
        <v>397</v>
      </c>
      <c r="E766" s="9" t="s">
        <v>397</v>
      </c>
      <c r="F766" s="9" t="s">
        <v>123</v>
      </c>
      <c r="G766" s="9" t="s">
        <v>40</v>
      </c>
      <c r="H766" s="9" t="s">
        <v>444</v>
      </c>
      <c r="I766" s="9" t="s">
        <v>91</v>
      </c>
      <c r="J766" s="9" t="s">
        <v>42</v>
      </c>
      <c r="K766" s="9" t="s">
        <v>1234</v>
      </c>
      <c r="L766" s="9" t="s">
        <v>42</v>
      </c>
      <c r="M766" s="10" t="s">
        <v>42</v>
      </c>
      <c r="N766" s="40" t="s">
        <v>399</v>
      </c>
      <c r="O766" s="9" t="s">
        <v>44</v>
      </c>
      <c r="P766" s="40" t="s">
        <v>399</v>
      </c>
      <c r="Q766" s="9" t="s">
        <v>94</v>
      </c>
      <c r="R766" t="s">
        <v>113</v>
      </c>
      <c r="S766" s="9" t="s">
        <v>1226</v>
      </c>
      <c r="T766" s="9" t="s">
        <v>1235</v>
      </c>
      <c r="U766" s="9" t="s">
        <v>993</v>
      </c>
      <c r="V766" s="9" t="s">
        <v>42</v>
      </c>
      <c r="W766" s="11" t="s">
        <v>50</v>
      </c>
      <c r="X766" s="9" t="s">
        <v>1236</v>
      </c>
      <c r="Y766" s="11">
        <v>0</v>
      </c>
      <c r="Z766" s="9">
        <v>12</v>
      </c>
      <c r="AA766" s="9">
        <v>6</v>
      </c>
      <c r="AB766" s="9">
        <v>0</v>
      </c>
      <c r="AC766" s="12">
        <v>2018</v>
      </c>
      <c r="AD766" s="10">
        <v>2020</v>
      </c>
      <c r="AE766" s="13">
        <v>2</v>
      </c>
      <c r="AF766" s="9">
        <v>1</v>
      </c>
      <c r="AG766" s="9" t="s">
        <v>64</v>
      </c>
      <c r="AH766" s="10" t="s">
        <v>64</v>
      </c>
    </row>
    <row r="767" spans="1:34" ht="15" customHeight="1">
      <c r="A767" t="s">
        <v>1237</v>
      </c>
      <c r="B767" t="s">
        <v>1238</v>
      </c>
      <c r="C767" s="1">
        <v>1</v>
      </c>
      <c r="D767" t="s">
        <v>38</v>
      </c>
      <c r="E767" t="s">
        <v>38</v>
      </c>
      <c r="F767" t="s">
        <v>116</v>
      </c>
      <c r="G767" t="s">
        <v>40</v>
      </c>
      <c r="H767" t="s">
        <v>42</v>
      </c>
      <c r="I767" t="s">
        <v>42</v>
      </c>
      <c r="J767" t="s">
        <v>42</v>
      </c>
      <c r="K767" t="s">
        <v>1239</v>
      </c>
      <c r="L767" t="s">
        <v>754</v>
      </c>
      <c r="M767" t="s">
        <v>353</v>
      </c>
      <c r="N767" s="39" t="s">
        <v>106</v>
      </c>
      <c r="O767" t="s">
        <v>86</v>
      </c>
      <c r="P767" s="39" t="s">
        <v>1240</v>
      </c>
      <c r="Q767" t="s">
        <v>42</v>
      </c>
      <c r="R767" t="s">
        <v>42</v>
      </c>
      <c r="S767" t="s">
        <v>1241</v>
      </c>
      <c r="T767" t="s">
        <v>1242</v>
      </c>
      <c r="U767" t="s">
        <v>42</v>
      </c>
      <c r="V767" t="s">
        <v>42</v>
      </c>
      <c r="W767" s="8" t="s">
        <v>64</v>
      </c>
      <c r="X767" t="s">
        <v>42</v>
      </c>
      <c r="Y767" s="8">
        <v>3</v>
      </c>
      <c r="Z767">
        <v>0</v>
      </c>
      <c r="AA767">
        <v>0</v>
      </c>
      <c r="AB767">
        <v>0</v>
      </c>
      <c r="AC767" s="5">
        <v>2000</v>
      </c>
      <c r="AD767" s="1">
        <v>2014</v>
      </c>
      <c r="AE767" s="6">
        <v>14</v>
      </c>
      <c r="AF767">
        <v>1</v>
      </c>
      <c r="AG767" t="s">
        <v>64</v>
      </c>
      <c r="AH767" s="1" t="s">
        <v>64</v>
      </c>
    </row>
    <row r="768" spans="1:34" ht="15" customHeight="1">
      <c r="A768" t="s">
        <v>1237</v>
      </c>
      <c r="B768" t="s">
        <v>1238</v>
      </c>
      <c r="C768" s="1">
        <v>2</v>
      </c>
      <c r="D768" t="s">
        <v>38</v>
      </c>
      <c r="E768" t="s">
        <v>38</v>
      </c>
      <c r="F768" t="s">
        <v>116</v>
      </c>
      <c r="G768" t="s">
        <v>40</v>
      </c>
      <c r="H768" t="s">
        <v>42</v>
      </c>
      <c r="I768" t="s">
        <v>42</v>
      </c>
      <c r="J768" t="s">
        <v>42</v>
      </c>
      <c r="K768" t="s">
        <v>1239</v>
      </c>
      <c r="L768" t="s">
        <v>754</v>
      </c>
      <c r="M768" t="s">
        <v>353</v>
      </c>
      <c r="N768" s="39" t="s">
        <v>106</v>
      </c>
      <c r="O768" t="s">
        <v>86</v>
      </c>
      <c r="P768" s="39" t="s">
        <v>1240</v>
      </c>
      <c r="Q768" t="s">
        <v>42</v>
      </c>
      <c r="R768" t="s">
        <v>42</v>
      </c>
      <c r="S768" t="s">
        <v>1189</v>
      </c>
      <c r="T768" t="s">
        <v>1242</v>
      </c>
      <c r="U768" t="s">
        <v>42</v>
      </c>
      <c r="V768" t="s">
        <v>42</v>
      </c>
      <c r="W768" s="8" t="s">
        <v>64</v>
      </c>
      <c r="X768" t="s">
        <v>42</v>
      </c>
      <c r="Y768" s="8">
        <v>3</v>
      </c>
      <c r="Z768">
        <v>0</v>
      </c>
      <c r="AA768">
        <v>0</v>
      </c>
      <c r="AB768">
        <v>0</v>
      </c>
      <c r="AC768" s="5">
        <v>2000</v>
      </c>
      <c r="AD768" s="1">
        <v>2014</v>
      </c>
      <c r="AE768" s="6">
        <v>14</v>
      </c>
      <c r="AF768">
        <v>1</v>
      </c>
      <c r="AG768" t="s">
        <v>64</v>
      </c>
      <c r="AH768" s="1" t="s">
        <v>64</v>
      </c>
    </row>
    <row r="769" spans="1:34" s="9" customFormat="1" ht="15" customHeight="1">
      <c r="A769" s="9" t="s">
        <v>1237</v>
      </c>
      <c r="B769" s="9" t="s">
        <v>1238</v>
      </c>
      <c r="C769" s="10">
        <v>3</v>
      </c>
      <c r="D769" s="9" t="s">
        <v>38</v>
      </c>
      <c r="E769" s="9" t="s">
        <v>38</v>
      </c>
      <c r="F769" s="9" t="s">
        <v>116</v>
      </c>
      <c r="G769" s="9" t="s">
        <v>40</v>
      </c>
      <c r="H769" s="9" t="s">
        <v>42</v>
      </c>
      <c r="I769" s="9" t="s">
        <v>42</v>
      </c>
      <c r="J769" s="9" t="s">
        <v>42</v>
      </c>
      <c r="K769" s="9" t="s">
        <v>1239</v>
      </c>
      <c r="L769" s="9" t="s">
        <v>1243</v>
      </c>
      <c r="M769" s="9" t="s">
        <v>353</v>
      </c>
      <c r="N769" s="40" t="s">
        <v>106</v>
      </c>
      <c r="O769" s="9" t="s">
        <v>86</v>
      </c>
      <c r="P769" s="40" t="s">
        <v>1244</v>
      </c>
      <c r="Q769" s="9" t="s">
        <v>42</v>
      </c>
      <c r="R769" s="9" t="s">
        <v>42</v>
      </c>
      <c r="S769" s="9" t="s">
        <v>656</v>
      </c>
      <c r="T769" s="9" t="s">
        <v>1245</v>
      </c>
      <c r="U769" s="9" t="s">
        <v>42</v>
      </c>
      <c r="V769" s="9" t="s">
        <v>42</v>
      </c>
      <c r="W769" s="11" t="s">
        <v>64</v>
      </c>
      <c r="X769" s="9" t="s">
        <v>42</v>
      </c>
      <c r="Y769" s="11">
        <v>3</v>
      </c>
      <c r="Z769" s="9">
        <v>0</v>
      </c>
      <c r="AA769" s="9">
        <v>0</v>
      </c>
      <c r="AB769" s="9">
        <v>0</v>
      </c>
      <c r="AC769" s="12">
        <v>2000</v>
      </c>
      <c r="AD769" s="10">
        <v>2014</v>
      </c>
      <c r="AE769" s="13">
        <v>14</v>
      </c>
      <c r="AF769" s="9">
        <v>1</v>
      </c>
      <c r="AG769" s="9" t="s">
        <v>64</v>
      </c>
      <c r="AH769" s="10" t="s">
        <v>64</v>
      </c>
    </row>
    <row r="770" spans="1:34" ht="15" customHeight="1">
      <c r="A770" t="s">
        <v>1246</v>
      </c>
      <c r="B770" t="s">
        <v>1247</v>
      </c>
      <c r="C770" s="1">
        <v>1</v>
      </c>
      <c r="D770" t="s">
        <v>38</v>
      </c>
      <c r="E770" t="s">
        <v>38</v>
      </c>
      <c r="F770" t="s">
        <v>116</v>
      </c>
      <c r="G770" t="s">
        <v>40</v>
      </c>
      <c r="H770" t="s">
        <v>42</v>
      </c>
      <c r="I770" t="s">
        <v>42</v>
      </c>
      <c r="J770" t="s">
        <v>42</v>
      </c>
      <c r="K770" t="s">
        <v>353</v>
      </c>
      <c r="L770" t="s">
        <v>1248</v>
      </c>
      <c r="M770" s="1" t="s">
        <v>1249</v>
      </c>
      <c r="N770" s="39" t="s">
        <v>359</v>
      </c>
      <c r="O770" t="s">
        <v>86</v>
      </c>
      <c r="P770" s="39" t="s">
        <v>1250</v>
      </c>
      <c r="Q770" t="s">
        <v>42</v>
      </c>
      <c r="R770" t="s">
        <v>42</v>
      </c>
      <c r="S770" t="s">
        <v>88</v>
      </c>
      <c r="T770" t="s">
        <v>42</v>
      </c>
      <c r="U770" t="s">
        <v>42</v>
      </c>
      <c r="V770" t="s">
        <v>42</v>
      </c>
      <c r="W770" s="8" t="s">
        <v>64</v>
      </c>
      <c r="X770" t="s">
        <v>42</v>
      </c>
      <c r="Y770" s="8" t="s">
        <v>659</v>
      </c>
      <c r="Z770" t="s">
        <v>659</v>
      </c>
      <c r="AA770">
        <v>0</v>
      </c>
      <c r="AB770">
        <v>0</v>
      </c>
      <c r="AC770" s="5" t="s">
        <v>42</v>
      </c>
      <c r="AD770" s="1" t="s">
        <v>42</v>
      </c>
      <c r="AE770" s="6">
        <v>1</v>
      </c>
      <c r="AF770">
        <v>1</v>
      </c>
      <c r="AG770" t="s">
        <v>64</v>
      </c>
      <c r="AH770" s="1" t="s">
        <v>64</v>
      </c>
    </row>
    <row r="771" spans="1:34" ht="15" customHeight="1">
      <c r="A771" t="s">
        <v>1246</v>
      </c>
      <c r="B771" t="s">
        <v>1247</v>
      </c>
      <c r="C771" s="1">
        <v>2</v>
      </c>
      <c r="D771" t="s">
        <v>38</v>
      </c>
      <c r="E771" t="s">
        <v>38</v>
      </c>
      <c r="F771" t="s">
        <v>116</v>
      </c>
      <c r="G771" t="s">
        <v>40</v>
      </c>
      <c r="H771" t="s">
        <v>42</v>
      </c>
      <c r="I771" t="s">
        <v>42</v>
      </c>
      <c r="J771" t="s">
        <v>42</v>
      </c>
      <c r="K771" t="s">
        <v>353</v>
      </c>
      <c r="L771" t="s">
        <v>1248</v>
      </c>
      <c r="M771" s="1" t="s">
        <v>1249</v>
      </c>
      <c r="N771" s="39" t="s">
        <v>269</v>
      </c>
      <c r="O771" t="s">
        <v>86</v>
      </c>
      <c r="P771" s="39" t="s">
        <v>1155</v>
      </c>
      <c r="Q771" t="s">
        <v>42</v>
      </c>
      <c r="R771" t="s">
        <v>42</v>
      </c>
      <c r="S771" t="s">
        <v>1251</v>
      </c>
      <c r="T771" t="s">
        <v>663</v>
      </c>
      <c r="U771" t="s">
        <v>42</v>
      </c>
      <c r="V771" t="s">
        <v>42</v>
      </c>
      <c r="W771" s="8" t="s">
        <v>64</v>
      </c>
      <c r="X771" t="s">
        <v>42</v>
      </c>
      <c r="Y771" s="8" t="s">
        <v>659</v>
      </c>
      <c r="Z771" t="s">
        <v>659</v>
      </c>
      <c r="AA771">
        <v>0</v>
      </c>
      <c r="AB771">
        <v>0</v>
      </c>
      <c r="AC771" s="5" t="s">
        <v>42</v>
      </c>
      <c r="AD771" s="1" t="s">
        <v>42</v>
      </c>
      <c r="AE771" s="6">
        <v>1</v>
      </c>
      <c r="AF771">
        <v>1</v>
      </c>
      <c r="AG771" t="s">
        <v>64</v>
      </c>
      <c r="AH771" s="1" t="s">
        <v>64</v>
      </c>
    </row>
    <row r="772" spans="1:34" ht="15" customHeight="1">
      <c r="A772" t="s">
        <v>1246</v>
      </c>
      <c r="B772" t="s">
        <v>1247</v>
      </c>
      <c r="C772" s="1">
        <v>3</v>
      </c>
      <c r="D772" t="s">
        <v>38</v>
      </c>
      <c r="E772" t="s">
        <v>38</v>
      </c>
      <c r="F772" t="s">
        <v>116</v>
      </c>
      <c r="G772" t="s">
        <v>40</v>
      </c>
      <c r="H772" t="s">
        <v>42</v>
      </c>
      <c r="I772" t="s">
        <v>42</v>
      </c>
      <c r="J772" t="s">
        <v>42</v>
      </c>
      <c r="K772" t="s">
        <v>353</v>
      </c>
      <c r="L772" t="s">
        <v>1248</v>
      </c>
      <c r="M772" s="1" t="s">
        <v>1249</v>
      </c>
      <c r="N772" s="39" t="s">
        <v>79</v>
      </c>
      <c r="O772" t="s">
        <v>86</v>
      </c>
      <c r="P772" s="39" t="s">
        <v>201</v>
      </c>
      <c r="Q772" t="s">
        <v>42</v>
      </c>
      <c r="R772" t="s">
        <v>42</v>
      </c>
      <c r="S772" t="s">
        <v>202</v>
      </c>
      <c r="T772" t="s">
        <v>42</v>
      </c>
      <c r="U772" t="s">
        <v>42</v>
      </c>
      <c r="V772" t="s">
        <v>42</v>
      </c>
      <c r="W772" s="8" t="s">
        <v>64</v>
      </c>
      <c r="X772" t="s">
        <v>42</v>
      </c>
      <c r="Y772" s="8" t="s">
        <v>659</v>
      </c>
      <c r="Z772" t="s">
        <v>659</v>
      </c>
      <c r="AA772">
        <v>0</v>
      </c>
      <c r="AB772">
        <v>0</v>
      </c>
      <c r="AC772" s="5" t="s">
        <v>42</v>
      </c>
      <c r="AD772" s="1" t="s">
        <v>42</v>
      </c>
      <c r="AE772" s="6">
        <v>1</v>
      </c>
      <c r="AF772">
        <v>1</v>
      </c>
      <c r="AG772" t="s">
        <v>64</v>
      </c>
      <c r="AH772" s="1" t="s">
        <v>64</v>
      </c>
    </row>
    <row r="773" spans="1:34" s="9" customFormat="1" ht="15" customHeight="1">
      <c r="A773" s="9" t="s">
        <v>1246</v>
      </c>
      <c r="B773" s="9" t="s">
        <v>1247</v>
      </c>
      <c r="C773" s="10">
        <v>4</v>
      </c>
      <c r="D773" s="9" t="s">
        <v>38</v>
      </c>
      <c r="E773" s="9" t="s">
        <v>38</v>
      </c>
      <c r="F773" s="9" t="s">
        <v>116</v>
      </c>
      <c r="G773" s="9" t="s">
        <v>40</v>
      </c>
      <c r="H773" s="9" t="s">
        <v>42</v>
      </c>
      <c r="I773" s="9" t="s">
        <v>42</v>
      </c>
      <c r="J773" s="9" t="s">
        <v>42</v>
      </c>
      <c r="K773" s="9" t="s">
        <v>353</v>
      </c>
      <c r="L773" s="9" t="s">
        <v>1248</v>
      </c>
      <c r="M773" s="10" t="s">
        <v>1249</v>
      </c>
      <c r="N773" s="40" t="s">
        <v>269</v>
      </c>
      <c r="O773" s="9" t="s">
        <v>86</v>
      </c>
      <c r="P773" s="40" t="s">
        <v>1252</v>
      </c>
      <c r="Q773" s="9" t="s">
        <v>42</v>
      </c>
      <c r="R773" s="9" t="s">
        <v>42</v>
      </c>
      <c r="S773" s="9" t="s">
        <v>42</v>
      </c>
      <c r="T773" s="9" t="s">
        <v>663</v>
      </c>
      <c r="U773" s="9" t="s">
        <v>42</v>
      </c>
      <c r="V773" s="9" t="s">
        <v>42</v>
      </c>
      <c r="W773" s="11" t="s">
        <v>64</v>
      </c>
      <c r="X773" s="9" t="s">
        <v>42</v>
      </c>
      <c r="Y773" s="11" t="s">
        <v>659</v>
      </c>
      <c r="Z773" s="9" t="s">
        <v>659</v>
      </c>
      <c r="AA773" s="9">
        <v>0</v>
      </c>
      <c r="AB773" s="9">
        <v>0</v>
      </c>
      <c r="AC773" s="12" t="s">
        <v>42</v>
      </c>
      <c r="AD773" s="10" t="s">
        <v>42</v>
      </c>
      <c r="AE773" s="13">
        <v>1</v>
      </c>
      <c r="AF773" s="9">
        <v>1</v>
      </c>
      <c r="AG773" s="9" t="s">
        <v>64</v>
      </c>
      <c r="AH773" s="10" t="s">
        <v>64</v>
      </c>
    </row>
    <row r="774" spans="1:34" ht="15" customHeight="1">
      <c r="A774" t="s">
        <v>1253</v>
      </c>
      <c r="B774" t="s">
        <v>1254</v>
      </c>
      <c r="C774" s="1">
        <v>1</v>
      </c>
      <c r="D774" t="s">
        <v>38</v>
      </c>
      <c r="E774" t="s">
        <v>38</v>
      </c>
      <c r="F774" t="s">
        <v>116</v>
      </c>
      <c r="G774" t="s">
        <v>40</v>
      </c>
      <c r="H774" t="s">
        <v>42</v>
      </c>
      <c r="I774" t="s">
        <v>42</v>
      </c>
      <c r="J774" t="s">
        <v>42</v>
      </c>
      <c r="K774" t="s">
        <v>353</v>
      </c>
      <c r="L774" t="s">
        <v>42</v>
      </c>
      <c r="M774" s="1" t="s">
        <v>42</v>
      </c>
      <c r="N774" s="39" t="s">
        <v>402</v>
      </c>
      <c r="O774" t="s">
        <v>86</v>
      </c>
      <c r="P774" s="39" t="s">
        <v>1255</v>
      </c>
      <c r="Q774" t="s">
        <v>1256</v>
      </c>
      <c r="R774" t="s">
        <v>42</v>
      </c>
      <c r="S774" t="s">
        <v>42</v>
      </c>
      <c r="T774" t="s">
        <v>42</v>
      </c>
      <c r="U774" t="s">
        <v>42</v>
      </c>
      <c r="V774" t="s">
        <v>42</v>
      </c>
      <c r="W774" s="8" t="s">
        <v>64</v>
      </c>
      <c r="X774" t="s">
        <v>42</v>
      </c>
      <c r="Y774" s="8">
        <v>1</v>
      </c>
      <c r="Z774">
        <v>5</v>
      </c>
      <c r="AA774">
        <v>0</v>
      </c>
      <c r="AB774">
        <v>0</v>
      </c>
      <c r="AC774" s="5">
        <v>2010</v>
      </c>
      <c r="AD774" s="1">
        <v>2010</v>
      </c>
      <c r="AE774" s="6" t="s">
        <v>72</v>
      </c>
      <c r="AF774">
        <v>1</v>
      </c>
      <c r="AG774" t="s">
        <v>64</v>
      </c>
      <c r="AH774" s="1" t="s">
        <v>64</v>
      </c>
    </row>
    <row r="775" spans="1:34" ht="15" customHeight="1">
      <c r="A775" t="s">
        <v>1253</v>
      </c>
      <c r="B775" t="s">
        <v>1254</v>
      </c>
      <c r="C775" s="1">
        <v>2</v>
      </c>
      <c r="D775" t="s">
        <v>38</v>
      </c>
      <c r="E775" t="s">
        <v>38</v>
      </c>
      <c r="F775" t="s">
        <v>116</v>
      </c>
      <c r="G775" t="s">
        <v>40</v>
      </c>
      <c r="H775" t="s">
        <v>42</v>
      </c>
      <c r="I775" t="s">
        <v>42</v>
      </c>
      <c r="J775" t="s">
        <v>42</v>
      </c>
      <c r="K775" t="s">
        <v>353</v>
      </c>
      <c r="L775" t="s">
        <v>42</v>
      </c>
      <c r="M775" s="1" t="s">
        <v>42</v>
      </c>
      <c r="N775" s="39" t="s">
        <v>57</v>
      </c>
      <c r="O775" t="s">
        <v>86</v>
      </c>
      <c r="P775" s="39" t="s">
        <v>57</v>
      </c>
      <c r="Q775" t="s">
        <v>1256</v>
      </c>
      <c r="R775" t="s">
        <v>42</v>
      </c>
      <c r="S775" t="s">
        <v>42</v>
      </c>
      <c r="T775" t="s">
        <v>42</v>
      </c>
      <c r="U775" t="s">
        <v>42</v>
      </c>
      <c r="V775" t="s">
        <v>42</v>
      </c>
      <c r="W775" s="8" t="s">
        <v>64</v>
      </c>
      <c r="X775" t="s">
        <v>42</v>
      </c>
      <c r="Y775" s="8">
        <v>1</v>
      </c>
      <c r="Z775">
        <v>5</v>
      </c>
      <c r="AA775">
        <v>0</v>
      </c>
      <c r="AB775">
        <v>0</v>
      </c>
      <c r="AC775" s="5">
        <v>2010</v>
      </c>
      <c r="AD775" s="1">
        <v>2010</v>
      </c>
      <c r="AE775" s="6" t="s">
        <v>72</v>
      </c>
      <c r="AF775">
        <v>1</v>
      </c>
      <c r="AG775" t="s">
        <v>64</v>
      </c>
      <c r="AH775" s="1" t="s">
        <v>64</v>
      </c>
    </row>
    <row r="776" spans="1:34" ht="15" customHeight="1">
      <c r="A776" t="s">
        <v>1253</v>
      </c>
      <c r="B776" t="s">
        <v>1254</v>
      </c>
      <c r="C776" s="1">
        <v>3</v>
      </c>
      <c r="D776" t="s">
        <v>38</v>
      </c>
      <c r="E776" t="s">
        <v>38</v>
      </c>
      <c r="F776" t="s">
        <v>116</v>
      </c>
      <c r="G776" t="s">
        <v>40</v>
      </c>
      <c r="H776" t="s">
        <v>42</v>
      </c>
      <c r="I776" t="s">
        <v>42</v>
      </c>
      <c r="J776" t="s">
        <v>42</v>
      </c>
      <c r="K776" t="s">
        <v>353</v>
      </c>
      <c r="L776" t="s">
        <v>42</v>
      </c>
      <c r="M776" s="1" t="s">
        <v>42</v>
      </c>
      <c r="N776" s="39" t="s">
        <v>786</v>
      </c>
      <c r="O776" t="s">
        <v>86</v>
      </c>
      <c r="P776" s="39" t="s">
        <v>787</v>
      </c>
      <c r="Q776" t="s">
        <v>1256</v>
      </c>
      <c r="R776" t="s">
        <v>42</v>
      </c>
      <c r="S776" t="s">
        <v>42</v>
      </c>
      <c r="T776" t="s">
        <v>42</v>
      </c>
      <c r="U776" t="s">
        <v>42</v>
      </c>
      <c r="V776" t="s">
        <v>42</v>
      </c>
      <c r="W776" s="8" t="s">
        <v>64</v>
      </c>
      <c r="X776" t="s">
        <v>42</v>
      </c>
      <c r="Y776" s="8">
        <v>1</v>
      </c>
      <c r="Z776">
        <v>5</v>
      </c>
      <c r="AA776">
        <v>0</v>
      </c>
      <c r="AB776">
        <v>0</v>
      </c>
      <c r="AC776" s="5">
        <v>2010</v>
      </c>
      <c r="AD776" s="1">
        <v>2010</v>
      </c>
      <c r="AE776" s="6" t="s">
        <v>72</v>
      </c>
      <c r="AF776">
        <v>1</v>
      </c>
      <c r="AG776" t="s">
        <v>64</v>
      </c>
      <c r="AH776" s="1" t="s">
        <v>64</v>
      </c>
    </row>
    <row r="777" spans="1:34" ht="15" customHeight="1">
      <c r="A777" t="s">
        <v>1253</v>
      </c>
      <c r="B777" t="s">
        <v>1254</v>
      </c>
      <c r="C777" s="1">
        <v>4</v>
      </c>
      <c r="D777" t="s">
        <v>38</v>
      </c>
      <c r="E777" t="s">
        <v>38</v>
      </c>
      <c r="F777" t="s">
        <v>116</v>
      </c>
      <c r="G777" t="s">
        <v>40</v>
      </c>
      <c r="H777" t="s">
        <v>42</v>
      </c>
      <c r="I777" t="s">
        <v>42</v>
      </c>
      <c r="J777" t="s">
        <v>42</v>
      </c>
      <c r="K777" t="s">
        <v>353</v>
      </c>
      <c r="L777" t="s">
        <v>42</v>
      </c>
      <c r="M777" s="1" t="s">
        <v>42</v>
      </c>
      <c r="N777" s="39" t="s">
        <v>786</v>
      </c>
      <c r="O777" t="s">
        <v>86</v>
      </c>
      <c r="P777" s="39" t="s">
        <v>788</v>
      </c>
      <c r="Q777" t="s">
        <v>1256</v>
      </c>
      <c r="R777" t="s">
        <v>42</v>
      </c>
      <c r="S777" t="s">
        <v>42</v>
      </c>
      <c r="T777" t="s">
        <v>42</v>
      </c>
      <c r="U777" t="s">
        <v>42</v>
      </c>
      <c r="V777" t="s">
        <v>42</v>
      </c>
      <c r="W777" s="8" t="s">
        <v>64</v>
      </c>
      <c r="X777" t="s">
        <v>42</v>
      </c>
      <c r="Y777" s="8">
        <v>1</v>
      </c>
      <c r="Z777">
        <v>5</v>
      </c>
      <c r="AA777">
        <v>0</v>
      </c>
      <c r="AB777">
        <v>0</v>
      </c>
      <c r="AC777" s="5">
        <v>2010</v>
      </c>
      <c r="AD777" s="1">
        <v>2010</v>
      </c>
      <c r="AE777" s="6" t="s">
        <v>72</v>
      </c>
      <c r="AF777">
        <v>1</v>
      </c>
      <c r="AG777" t="s">
        <v>64</v>
      </c>
      <c r="AH777" s="1" t="s">
        <v>64</v>
      </c>
    </row>
    <row r="778" spans="1:34" ht="15" customHeight="1">
      <c r="A778" t="s">
        <v>1253</v>
      </c>
      <c r="B778" t="s">
        <v>1254</v>
      </c>
      <c r="C778" s="1">
        <v>5</v>
      </c>
      <c r="D778" t="s">
        <v>38</v>
      </c>
      <c r="E778" t="s">
        <v>38</v>
      </c>
      <c r="F778" t="s">
        <v>116</v>
      </c>
      <c r="G778" t="s">
        <v>40</v>
      </c>
      <c r="H778" t="s">
        <v>42</v>
      </c>
      <c r="I778" t="s">
        <v>42</v>
      </c>
      <c r="J778" t="s">
        <v>42</v>
      </c>
      <c r="K778" t="s">
        <v>353</v>
      </c>
      <c r="L778" t="s">
        <v>42</v>
      </c>
      <c r="M778" s="1" t="s">
        <v>42</v>
      </c>
      <c r="N778" s="39" t="s">
        <v>786</v>
      </c>
      <c r="O778" t="s">
        <v>86</v>
      </c>
      <c r="P778" s="39" t="s">
        <v>789</v>
      </c>
      <c r="Q778" t="s">
        <v>1256</v>
      </c>
      <c r="R778" t="s">
        <v>42</v>
      </c>
      <c r="S778" t="s">
        <v>42</v>
      </c>
      <c r="T778" t="s">
        <v>42</v>
      </c>
      <c r="U778" t="s">
        <v>42</v>
      </c>
      <c r="V778" t="s">
        <v>42</v>
      </c>
      <c r="W778" s="8" t="s">
        <v>64</v>
      </c>
      <c r="X778" t="s">
        <v>42</v>
      </c>
      <c r="Y778" s="8">
        <v>1</v>
      </c>
      <c r="Z778">
        <v>5</v>
      </c>
      <c r="AA778">
        <v>0</v>
      </c>
      <c r="AB778">
        <v>0</v>
      </c>
      <c r="AC778" s="5">
        <v>2010</v>
      </c>
      <c r="AD778" s="1">
        <v>2010</v>
      </c>
      <c r="AE778" s="6" t="s">
        <v>72</v>
      </c>
      <c r="AF778">
        <v>1</v>
      </c>
      <c r="AG778" t="s">
        <v>64</v>
      </c>
      <c r="AH778" s="1" t="s">
        <v>64</v>
      </c>
    </row>
    <row r="779" spans="1:34" ht="15" customHeight="1">
      <c r="A779" t="s">
        <v>1253</v>
      </c>
      <c r="B779" t="s">
        <v>1254</v>
      </c>
      <c r="C779" s="1">
        <v>6</v>
      </c>
      <c r="D779" t="s">
        <v>38</v>
      </c>
      <c r="E779" t="s">
        <v>38</v>
      </c>
      <c r="F779" t="s">
        <v>116</v>
      </c>
      <c r="G779" t="s">
        <v>40</v>
      </c>
      <c r="H779" t="s">
        <v>42</v>
      </c>
      <c r="I779" t="s">
        <v>42</v>
      </c>
      <c r="J779" t="s">
        <v>42</v>
      </c>
      <c r="K779" t="s">
        <v>353</v>
      </c>
      <c r="L779" t="s">
        <v>42</v>
      </c>
      <c r="M779" s="1" t="s">
        <v>42</v>
      </c>
      <c r="N779" s="39" t="s">
        <v>808</v>
      </c>
      <c r="O779" t="s">
        <v>86</v>
      </c>
      <c r="P779" s="39" t="s">
        <v>1257</v>
      </c>
      <c r="Q779" t="s">
        <v>1256</v>
      </c>
      <c r="R779" t="s">
        <v>42</v>
      </c>
      <c r="S779" t="s">
        <v>42</v>
      </c>
      <c r="T779" t="s">
        <v>42</v>
      </c>
      <c r="U779" t="s">
        <v>42</v>
      </c>
      <c r="V779" t="s">
        <v>42</v>
      </c>
      <c r="W779" s="8" t="s">
        <v>64</v>
      </c>
      <c r="X779" t="s">
        <v>42</v>
      </c>
      <c r="Y779" s="8">
        <v>1</v>
      </c>
      <c r="Z779">
        <v>5</v>
      </c>
      <c r="AA779">
        <v>0</v>
      </c>
      <c r="AB779">
        <v>0</v>
      </c>
      <c r="AC779" s="5">
        <v>2010</v>
      </c>
      <c r="AD779" s="1">
        <v>2010</v>
      </c>
      <c r="AE779" s="6" t="s">
        <v>72</v>
      </c>
      <c r="AF779">
        <v>1</v>
      </c>
      <c r="AG779" t="s">
        <v>64</v>
      </c>
      <c r="AH779" s="1" t="s">
        <v>64</v>
      </c>
    </row>
    <row r="780" spans="1:34" ht="15" customHeight="1">
      <c r="A780" t="s">
        <v>1253</v>
      </c>
      <c r="B780" t="s">
        <v>1254</v>
      </c>
      <c r="C780" s="1">
        <v>7</v>
      </c>
      <c r="D780" t="s">
        <v>38</v>
      </c>
      <c r="E780" t="s">
        <v>38</v>
      </c>
      <c r="F780" t="s">
        <v>116</v>
      </c>
      <c r="G780" t="s">
        <v>40</v>
      </c>
      <c r="H780" t="s">
        <v>42</v>
      </c>
      <c r="I780" t="s">
        <v>42</v>
      </c>
      <c r="J780" t="s">
        <v>42</v>
      </c>
      <c r="K780" t="s">
        <v>353</v>
      </c>
      <c r="L780" t="s">
        <v>42</v>
      </c>
      <c r="M780" s="1" t="s">
        <v>42</v>
      </c>
      <c r="N780" s="39" t="s">
        <v>808</v>
      </c>
      <c r="O780" t="s">
        <v>86</v>
      </c>
      <c r="P780" s="39" t="s">
        <v>1258</v>
      </c>
      <c r="Q780" t="s">
        <v>1256</v>
      </c>
      <c r="R780" t="s">
        <v>42</v>
      </c>
      <c r="S780" t="s">
        <v>42</v>
      </c>
      <c r="T780" t="s">
        <v>42</v>
      </c>
      <c r="U780" t="s">
        <v>42</v>
      </c>
      <c r="V780" t="s">
        <v>42</v>
      </c>
      <c r="W780" s="8" t="s">
        <v>64</v>
      </c>
      <c r="X780" t="s">
        <v>42</v>
      </c>
      <c r="Y780" s="8">
        <v>1</v>
      </c>
      <c r="Z780">
        <v>5</v>
      </c>
      <c r="AA780">
        <v>0</v>
      </c>
      <c r="AB780">
        <v>0</v>
      </c>
      <c r="AC780" s="5">
        <v>2010</v>
      </c>
      <c r="AD780" s="1">
        <v>2010</v>
      </c>
      <c r="AE780" s="6" t="s">
        <v>72</v>
      </c>
      <c r="AF780">
        <v>1</v>
      </c>
      <c r="AG780" t="s">
        <v>64</v>
      </c>
      <c r="AH780" s="1" t="s">
        <v>64</v>
      </c>
    </row>
    <row r="781" spans="1:34" s="9" customFormat="1" ht="15" customHeight="1">
      <c r="A781" s="9" t="s">
        <v>1253</v>
      </c>
      <c r="B781" s="9" t="s">
        <v>1254</v>
      </c>
      <c r="C781" s="10">
        <v>8</v>
      </c>
      <c r="D781" s="9" t="s">
        <v>38</v>
      </c>
      <c r="E781" s="9" t="s">
        <v>38</v>
      </c>
      <c r="F781" s="9" t="s">
        <v>116</v>
      </c>
      <c r="G781" s="9" t="s">
        <v>40</v>
      </c>
      <c r="H781" s="9" t="s">
        <v>42</v>
      </c>
      <c r="I781" s="9" t="s">
        <v>42</v>
      </c>
      <c r="J781" s="9" t="s">
        <v>42</v>
      </c>
      <c r="K781" s="9" t="s">
        <v>353</v>
      </c>
      <c r="L781" s="9" t="s">
        <v>42</v>
      </c>
      <c r="M781" s="10" t="s">
        <v>42</v>
      </c>
      <c r="N781" s="40" t="s">
        <v>808</v>
      </c>
      <c r="O781" s="9" t="s">
        <v>86</v>
      </c>
      <c r="P781" s="40" t="s">
        <v>1259</v>
      </c>
      <c r="Q781" s="9" t="s">
        <v>1256</v>
      </c>
      <c r="R781" s="9" t="s">
        <v>42</v>
      </c>
      <c r="S781" s="9" t="s">
        <v>42</v>
      </c>
      <c r="T781" s="9" t="s">
        <v>42</v>
      </c>
      <c r="U781" s="9" t="s">
        <v>42</v>
      </c>
      <c r="V781" s="9" t="s">
        <v>42</v>
      </c>
      <c r="W781" s="11" t="s">
        <v>64</v>
      </c>
      <c r="X781" s="9" t="s">
        <v>42</v>
      </c>
      <c r="Y781" s="11">
        <v>1</v>
      </c>
      <c r="Z781" s="9">
        <v>5</v>
      </c>
      <c r="AA781" s="9">
        <v>0</v>
      </c>
      <c r="AB781" s="9">
        <v>0</v>
      </c>
      <c r="AC781" s="12">
        <v>2010</v>
      </c>
      <c r="AD781" s="10">
        <v>2010</v>
      </c>
      <c r="AE781" s="13" t="s">
        <v>72</v>
      </c>
      <c r="AF781" s="9">
        <v>1</v>
      </c>
      <c r="AG781" s="9" t="s">
        <v>64</v>
      </c>
      <c r="AH781" s="10" t="s">
        <v>64</v>
      </c>
    </row>
    <row r="782" spans="1:34" ht="15" customHeight="1">
      <c r="A782" s="2" t="s">
        <v>1260</v>
      </c>
      <c r="B782" t="s">
        <v>1261</v>
      </c>
      <c r="C782" s="1">
        <v>1</v>
      </c>
      <c r="D782" t="s">
        <v>38</v>
      </c>
      <c r="E782" t="s">
        <v>38</v>
      </c>
      <c r="F782" t="s">
        <v>39</v>
      </c>
      <c r="G782" t="s">
        <v>40</v>
      </c>
      <c r="H782" t="s">
        <v>41</v>
      </c>
      <c r="I782" t="s">
        <v>42</v>
      </c>
      <c r="J782" t="s">
        <v>42</v>
      </c>
      <c r="K782" t="s">
        <v>42</v>
      </c>
      <c r="L782" t="s">
        <v>42</v>
      </c>
      <c r="M782" t="s">
        <v>42</v>
      </c>
      <c r="N782" s="39" t="s">
        <v>52</v>
      </c>
      <c r="O782" t="s">
        <v>44</v>
      </c>
      <c r="P782" s="39" t="s">
        <v>52</v>
      </c>
      <c r="Q782" t="s">
        <v>46</v>
      </c>
      <c r="R782" t="s">
        <v>575</v>
      </c>
      <c r="S782" t="s">
        <v>69</v>
      </c>
      <c r="T782" t="s">
        <v>42</v>
      </c>
      <c r="U782" t="s">
        <v>42</v>
      </c>
      <c r="V782" t="s">
        <v>42</v>
      </c>
      <c r="W782" s="8" t="s">
        <v>613</v>
      </c>
      <c r="X782" t="s">
        <v>1262</v>
      </c>
      <c r="Y782" s="8">
        <v>0</v>
      </c>
      <c r="Z782">
        <v>0</v>
      </c>
      <c r="AA782">
        <v>0</v>
      </c>
      <c r="AB782">
        <v>3</v>
      </c>
      <c r="AC782" s="5">
        <v>2005</v>
      </c>
      <c r="AD782" s="1">
        <v>2005</v>
      </c>
      <c r="AE782" s="6">
        <v>1</v>
      </c>
      <c r="AF782">
        <v>4</v>
      </c>
      <c r="AG782" t="s">
        <v>64</v>
      </c>
      <c r="AH782" s="1" t="s">
        <v>64</v>
      </c>
    </row>
    <row r="783" spans="1:34" ht="15" customHeight="1">
      <c r="A783" s="2" t="s">
        <v>1260</v>
      </c>
      <c r="B783" t="s">
        <v>1261</v>
      </c>
      <c r="C783" s="1">
        <v>2</v>
      </c>
      <c r="D783" t="s">
        <v>38</v>
      </c>
      <c r="E783" t="s">
        <v>38</v>
      </c>
      <c r="F783" t="s">
        <v>39</v>
      </c>
      <c r="G783" t="s">
        <v>40</v>
      </c>
      <c r="H783" t="s">
        <v>1263</v>
      </c>
      <c r="I783" t="s">
        <v>42</v>
      </c>
      <c r="J783" t="s">
        <v>42</v>
      </c>
      <c r="K783" t="s">
        <v>42</v>
      </c>
      <c r="L783" t="s">
        <v>42</v>
      </c>
      <c r="M783" t="s">
        <v>42</v>
      </c>
      <c r="N783" s="39" t="s">
        <v>60</v>
      </c>
      <c r="O783" t="s">
        <v>44</v>
      </c>
      <c r="P783" s="39" t="s">
        <v>369</v>
      </c>
      <c r="Q783" t="s">
        <v>1264</v>
      </c>
      <c r="R783" t="s">
        <v>1265</v>
      </c>
      <c r="S783" t="s">
        <v>1266</v>
      </c>
      <c r="T783" t="s">
        <v>577</v>
      </c>
      <c r="U783" t="s">
        <v>42</v>
      </c>
      <c r="V783" t="s">
        <v>42</v>
      </c>
      <c r="W783" s="8" t="s">
        <v>613</v>
      </c>
      <c r="X783" t="s">
        <v>1262</v>
      </c>
      <c r="Y783" s="8">
        <v>0</v>
      </c>
      <c r="Z783">
        <v>0</v>
      </c>
      <c r="AA783">
        <v>0</v>
      </c>
      <c r="AB783">
        <v>3</v>
      </c>
      <c r="AC783" s="5">
        <v>2005</v>
      </c>
      <c r="AD783" s="1">
        <v>2005</v>
      </c>
      <c r="AE783" s="6">
        <v>1</v>
      </c>
      <c r="AF783">
        <v>3</v>
      </c>
      <c r="AG783" t="s">
        <v>64</v>
      </c>
      <c r="AH783" s="1" t="s">
        <v>64</v>
      </c>
    </row>
    <row r="784" spans="1:34" ht="15" customHeight="1">
      <c r="A784" s="2" t="s">
        <v>1260</v>
      </c>
      <c r="B784" t="s">
        <v>1261</v>
      </c>
      <c r="C784" s="1">
        <v>3</v>
      </c>
      <c r="D784" t="s">
        <v>38</v>
      </c>
      <c r="E784" t="s">
        <v>38</v>
      </c>
      <c r="F784" t="s">
        <v>39</v>
      </c>
      <c r="G784" t="s">
        <v>40</v>
      </c>
      <c r="H784" t="s">
        <v>1263</v>
      </c>
      <c r="I784" t="s">
        <v>42</v>
      </c>
      <c r="J784" t="s">
        <v>42</v>
      </c>
      <c r="K784" t="s">
        <v>42</v>
      </c>
      <c r="L784" t="s">
        <v>42</v>
      </c>
      <c r="M784" t="s">
        <v>42</v>
      </c>
      <c r="N784" s="39" t="s">
        <v>60</v>
      </c>
      <c r="O784" t="s">
        <v>44</v>
      </c>
      <c r="P784" s="39" t="s">
        <v>369</v>
      </c>
      <c r="Q784" t="s">
        <v>94</v>
      </c>
      <c r="R784" t="s">
        <v>1267</v>
      </c>
      <c r="S784" t="s">
        <v>1266</v>
      </c>
      <c r="T784" t="s">
        <v>577</v>
      </c>
      <c r="U784" t="s">
        <v>42</v>
      </c>
      <c r="V784" t="s">
        <v>42</v>
      </c>
      <c r="W784" s="8" t="s">
        <v>613</v>
      </c>
      <c r="X784" t="s">
        <v>1262</v>
      </c>
      <c r="Y784" s="8">
        <v>0</v>
      </c>
      <c r="Z784">
        <v>0</v>
      </c>
      <c r="AA784">
        <v>0</v>
      </c>
      <c r="AB784">
        <v>3</v>
      </c>
      <c r="AC784" s="5">
        <v>2005</v>
      </c>
      <c r="AD784" s="1">
        <v>2005</v>
      </c>
      <c r="AE784" s="6">
        <v>1</v>
      </c>
      <c r="AF784">
        <v>3</v>
      </c>
      <c r="AG784" t="s">
        <v>64</v>
      </c>
      <c r="AH784" s="1" t="s">
        <v>64</v>
      </c>
    </row>
    <row r="785" spans="1:34" ht="15" customHeight="1">
      <c r="A785" s="2" t="s">
        <v>1260</v>
      </c>
      <c r="B785" t="s">
        <v>1261</v>
      </c>
      <c r="C785" s="1">
        <v>4</v>
      </c>
      <c r="D785" t="s">
        <v>38</v>
      </c>
      <c r="E785" t="s">
        <v>38</v>
      </c>
      <c r="F785" t="s">
        <v>39</v>
      </c>
      <c r="G785" t="s">
        <v>40</v>
      </c>
      <c r="H785" t="s">
        <v>1263</v>
      </c>
      <c r="I785" t="s">
        <v>42</v>
      </c>
      <c r="J785" t="s">
        <v>42</v>
      </c>
      <c r="K785" t="s">
        <v>42</v>
      </c>
      <c r="L785" t="s">
        <v>42</v>
      </c>
      <c r="M785" t="s">
        <v>42</v>
      </c>
      <c r="N785" s="39" t="s">
        <v>60</v>
      </c>
      <c r="O785" t="s">
        <v>44</v>
      </c>
      <c r="P785" s="39" t="s">
        <v>369</v>
      </c>
      <c r="Q785" t="s">
        <v>1268</v>
      </c>
      <c r="R785" t="s">
        <v>1269</v>
      </c>
      <c r="S785" t="s">
        <v>1266</v>
      </c>
      <c r="T785" t="s">
        <v>577</v>
      </c>
      <c r="U785" t="s">
        <v>42</v>
      </c>
      <c r="V785" t="s">
        <v>42</v>
      </c>
      <c r="W785" s="8" t="s">
        <v>613</v>
      </c>
      <c r="X785" t="s">
        <v>1262</v>
      </c>
      <c r="Y785" s="8">
        <v>0</v>
      </c>
      <c r="Z785">
        <v>0</v>
      </c>
      <c r="AA785">
        <v>0</v>
      </c>
      <c r="AB785">
        <v>3</v>
      </c>
      <c r="AC785" s="5">
        <v>2005</v>
      </c>
      <c r="AD785" s="1">
        <v>2005</v>
      </c>
      <c r="AE785" s="6">
        <v>1</v>
      </c>
      <c r="AF785">
        <v>3</v>
      </c>
      <c r="AG785" t="s">
        <v>64</v>
      </c>
      <c r="AH785" s="1" t="s">
        <v>64</v>
      </c>
    </row>
    <row r="786" spans="1:34" ht="15" customHeight="1">
      <c r="A786" s="2" t="s">
        <v>1260</v>
      </c>
      <c r="B786" t="s">
        <v>1261</v>
      </c>
      <c r="C786" s="1">
        <v>5</v>
      </c>
      <c r="D786" t="s">
        <v>38</v>
      </c>
      <c r="E786" t="s">
        <v>38</v>
      </c>
      <c r="F786" t="s">
        <v>39</v>
      </c>
      <c r="G786" t="s">
        <v>40</v>
      </c>
      <c r="H786" t="s">
        <v>1263</v>
      </c>
      <c r="I786" t="s">
        <v>42</v>
      </c>
      <c r="J786" t="s">
        <v>42</v>
      </c>
      <c r="K786" t="s">
        <v>42</v>
      </c>
      <c r="L786" t="s">
        <v>42</v>
      </c>
      <c r="M786" t="s">
        <v>42</v>
      </c>
      <c r="N786" s="39" t="s">
        <v>60</v>
      </c>
      <c r="O786" t="s">
        <v>44</v>
      </c>
      <c r="P786" s="39" t="s">
        <v>369</v>
      </c>
      <c r="Q786" t="s">
        <v>1270</v>
      </c>
      <c r="R786" t="s">
        <v>42</v>
      </c>
      <c r="S786" t="s">
        <v>1266</v>
      </c>
      <c r="T786" t="s">
        <v>577</v>
      </c>
      <c r="U786" t="s">
        <v>42</v>
      </c>
      <c r="V786" t="s">
        <v>42</v>
      </c>
      <c r="W786" s="8" t="s">
        <v>613</v>
      </c>
      <c r="X786" t="s">
        <v>1262</v>
      </c>
      <c r="Y786" s="8">
        <v>0</v>
      </c>
      <c r="Z786">
        <v>0</v>
      </c>
      <c r="AA786">
        <v>0</v>
      </c>
      <c r="AB786">
        <v>3</v>
      </c>
      <c r="AC786" s="5">
        <v>2005</v>
      </c>
      <c r="AD786" s="1">
        <v>2005</v>
      </c>
      <c r="AE786" s="6">
        <v>1</v>
      </c>
      <c r="AF786">
        <v>3</v>
      </c>
      <c r="AG786" t="s">
        <v>64</v>
      </c>
      <c r="AH786" s="1" t="s">
        <v>64</v>
      </c>
    </row>
    <row r="787" spans="1:34" ht="15" customHeight="1">
      <c r="A787" s="2" t="s">
        <v>1260</v>
      </c>
      <c r="B787" t="s">
        <v>1261</v>
      </c>
      <c r="C787" s="1">
        <v>6</v>
      </c>
      <c r="D787" t="s">
        <v>38</v>
      </c>
      <c r="E787" t="s">
        <v>38</v>
      </c>
      <c r="F787" t="s">
        <v>39</v>
      </c>
      <c r="G787" t="s">
        <v>40</v>
      </c>
      <c r="H787" t="s">
        <v>1263</v>
      </c>
      <c r="I787" t="s">
        <v>42</v>
      </c>
      <c r="J787" t="s">
        <v>42</v>
      </c>
      <c r="K787" t="s">
        <v>42</v>
      </c>
      <c r="L787" t="s">
        <v>42</v>
      </c>
      <c r="M787" t="s">
        <v>42</v>
      </c>
      <c r="N787" s="39" t="s">
        <v>60</v>
      </c>
      <c r="O787" t="s">
        <v>44</v>
      </c>
      <c r="P787" s="39" t="s">
        <v>369</v>
      </c>
      <c r="Q787" t="s">
        <v>286</v>
      </c>
      <c r="R787" t="s">
        <v>42</v>
      </c>
      <c r="S787" t="s">
        <v>1266</v>
      </c>
      <c r="T787" t="s">
        <v>577</v>
      </c>
      <c r="U787" t="s">
        <v>42</v>
      </c>
      <c r="V787" t="s">
        <v>42</v>
      </c>
      <c r="W787" s="8" t="s">
        <v>613</v>
      </c>
      <c r="X787" t="s">
        <v>1262</v>
      </c>
      <c r="Y787" s="8">
        <v>0</v>
      </c>
      <c r="Z787">
        <v>0</v>
      </c>
      <c r="AA787">
        <v>0</v>
      </c>
      <c r="AB787">
        <v>3</v>
      </c>
      <c r="AC787" s="5">
        <v>2005</v>
      </c>
      <c r="AD787" s="1">
        <v>2005</v>
      </c>
      <c r="AE787" s="6">
        <v>1</v>
      </c>
      <c r="AF787">
        <v>3</v>
      </c>
      <c r="AG787" t="s">
        <v>64</v>
      </c>
      <c r="AH787" s="1" t="s">
        <v>64</v>
      </c>
    </row>
    <row r="788" spans="1:34" ht="15" customHeight="1">
      <c r="A788" s="2" t="s">
        <v>1260</v>
      </c>
      <c r="B788" t="s">
        <v>1261</v>
      </c>
      <c r="C788" s="1">
        <v>7</v>
      </c>
      <c r="D788" t="s">
        <v>38</v>
      </c>
      <c r="E788" t="s">
        <v>38</v>
      </c>
      <c r="F788" t="s">
        <v>39</v>
      </c>
      <c r="G788" t="s">
        <v>40</v>
      </c>
      <c r="H788" t="s">
        <v>1263</v>
      </c>
      <c r="I788" t="s">
        <v>42</v>
      </c>
      <c r="J788" t="s">
        <v>42</v>
      </c>
      <c r="K788" t="s">
        <v>42</v>
      </c>
      <c r="L788" t="s">
        <v>42</v>
      </c>
      <c r="M788" t="s">
        <v>42</v>
      </c>
      <c r="N788" s="39" t="s">
        <v>60</v>
      </c>
      <c r="O788" t="s">
        <v>44</v>
      </c>
      <c r="P788" s="39" t="s">
        <v>369</v>
      </c>
      <c r="Q788" t="s">
        <v>277</v>
      </c>
      <c r="R788" t="s">
        <v>1271</v>
      </c>
      <c r="S788" t="s">
        <v>1266</v>
      </c>
      <c r="T788" t="s">
        <v>577</v>
      </c>
      <c r="U788" t="s">
        <v>42</v>
      </c>
      <c r="V788" t="s">
        <v>42</v>
      </c>
      <c r="W788" s="8" t="s">
        <v>613</v>
      </c>
      <c r="X788" t="s">
        <v>1262</v>
      </c>
      <c r="Y788" s="8">
        <v>0</v>
      </c>
      <c r="Z788">
        <v>0</v>
      </c>
      <c r="AA788">
        <v>0</v>
      </c>
      <c r="AB788">
        <v>3</v>
      </c>
      <c r="AC788" s="5">
        <v>2005</v>
      </c>
      <c r="AD788" s="1">
        <v>2005</v>
      </c>
      <c r="AE788" s="6">
        <v>1</v>
      </c>
      <c r="AF788">
        <v>3</v>
      </c>
      <c r="AG788" t="s">
        <v>64</v>
      </c>
      <c r="AH788" s="1" t="s">
        <v>64</v>
      </c>
    </row>
    <row r="789" spans="1:34" ht="15" customHeight="1">
      <c r="A789" s="2" t="s">
        <v>1260</v>
      </c>
      <c r="B789" t="s">
        <v>1261</v>
      </c>
      <c r="C789" s="1">
        <v>8</v>
      </c>
      <c r="D789" t="s">
        <v>38</v>
      </c>
      <c r="E789" t="s">
        <v>38</v>
      </c>
      <c r="F789" t="s">
        <v>39</v>
      </c>
      <c r="G789" t="s">
        <v>40</v>
      </c>
      <c r="H789" t="s">
        <v>1263</v>
      </c>
      <c r="I789" t="s">
        <v>42</v>
      </c>
      <c r="J789" t="s">
        <v>42</v>
      </c>
      <c r="K789" t="s">
        <v>42</v>
      </c>
      <c r="L789" t="s">
        <v>42</v>
      </c>
      <c r="M789" t="s">
        <v>42</v>
      </c>
      <c r="N789" s="39" t="s">
        <v>60</v>
      </c>
      <c r="O789" t="s">
        <v>44</v>
      </c>
      <c r="P789" s="39" t="s">
        <v>369</v>
      </c>
      <c r="Q789" t="s">
        <v>277</v>
      </c>
      <c r="R789" t="s">
        <v>1272</v>
      </c>
      <c r="S789" t="s">
        <v>1266</v>
      </c>
      <c r="T789" t="s">
        <v>577</v>
      </c>
      <c r="U789" t="s">
        <v>42</v>
      </c>
      <c r="V789" t="s">
        <v>42</v>
      </c>
      <c r="W789" s="8" t="s">
        <v>613</v>
      </c>
      <c r="X789" t="s">
        <v>1262</v>
      </c>
      <c r="Y789" s="8">
        <v>0</v>
      </c>
      <c r="Z789">
        <v>0</v>
      </c>
      <c r="AA789">
        <v>0</v>
      </c>
      <c r="AB789">
        <v>3</v>
      </c>
      <c r="AC789" s="5">
        <v>2005</v>
      </c>
      <c r="AD789" s="1">
        <v>2005</v>
      </c>
      <c r="AE789" s="6">
        <v>1</v>
      </c>
      <c r="AF789">
        <v>3</v>
      </c>
      <c r="AG789" t="s">
        <v>64</v>
      </c>
      <c r="AH789" s="1" t="s">
        <v>64</v>
      </c>
    </row>
    <row r="790" spans="1:34" s="9" customFormat="1" ht="15" customHeight="1">
      <c r="A790" s="18" t="s">
        <v>1260</v>
      </c>
      <c r="B790" s="9" t="s">
        <v>1261</v>
      </c>
      <c r="C790" s="10">
        <v>9</v>
      </c>
      <c r="D790" s="9" t="s">
        <v>38</v>
      </c>
      <c r="E790" s="9" t="s">
        <v>38</v>
      </c>
      <c r="F790" s="9" t="s">
        <v>39</v>
      </c>
      <c r="G790" s="9" t="s">
        <v>40</v>
      </c>
      <c r="H790" s="9" t="s">
        <v>1263</v>
      </c>
      <c r="I790" s="9" t="s">
        <v>42</v>
      </c>
      <c r="J790" s="9" t="s">
        <v>42</v>
      </c>
      <c r="K790" s="9" t="s">
        <v>42</v>
      </c>
      <c r="L790" s="9" t="s">
        <v>42</v>
      </c>
      <c r="M790" s="9" t="s">
        <v>42</v>
      </c>
      <c r="N790" s="40" t="s">
        <v>60</v>
      </c>
      <c r="O790" s="9" t="s">
        <v>44</v>
      </c>
      <c r="P790" s="40" t="s">
        <v>369</v>
      </c>
      <c r="Q790" s="9" t="s">
        <v>102</v>
      </c>
      <c r="R790" s="9" t="s">
        <v>103</v>
      </c>
      <c r="S790" s="9" t="s">
        <v>1266</v>
      </c>
      <c r="T790" s="9" t="s">
        <v>577</v>
      </c>
      <c r="U790" s="9" t="s">
        <v>42</v>
      </c>
      <c r="V790" s="9" t="s">
        <v>42</v>
      </c>
      <c r="W790" s="11" t="s">
        <v>613</v>
      </c>
      <c r="X790" s="9" t="s">
        <v>1262</v>
      </c>
      <c r="Y790" s="11">
        <v>0</v>
      </c>
      <c r="Z790" s="9">
        <v>0</v>
      </c>
      <c r="AA790" s="9">
        <v>0</v>
      </c>
      <c r="AB790" s="9">
        <v>3</v>
      </c>
      <c r="AC790" s="12">
        <v>2005</v>
      </c>
      <c r="AD790" s="10">
        <v>2005</v>
      </c>
      <c r="AE790" s="13">
        <v>1</v>
      </c>
      <c r="AF790" s="9">
        <v>3</v>
      </c>
      <c r="AG790" s="9" t="s">
        <v>64</v>
      </c>
      <c r="AH790" s="10" t="s">
        <v>64</v>
      </c>
    </row>
  </sheetData>
  <mergeCells count="6">
    <mergeCell ref="A1:C1"/>
    <mergeCell ref="AC1:AH1"/>
    <mergeCell ref="D1:M1"/>
    <mergeCell ref="Y1:AB1"/>
    <mergeCell ref="N1:V1"/>
    <mergeCell ref="W1:X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B303-F395-40A5-BBC4-857EE0A21F53}">
  <dimension ref="A1:N463"/>
  <sheetViews>
    <sheetView zoomScale="59" zoomScaleNormal="70" workbookViewId="0">
      <pane xSplit="3" ySplit="2" topLeftCell="D3" activePane="bottomRight" state="frozen"/>
      <selection pane="topRight"/>
      <selection pane="bottomLeft"/>
      <selection pane="bottomRight" activeCell="F433" sqref="F433"/>
    </sheetView>
  </sheetViews>
  <sheetFormatPr defaultRowHeight="15" customHeight="1"/>
  <cols>
    <col min="2" max="2" width="13.81640625" customWidth="1"/>
    <col min="3" max="3" width="8.7265625" style="1"/>
    <col min="4" max="4" width="28.453125" style="39" customWidth="1"/>
    <col min="5" max="5" width="37" customWidth="1"/>
    <col min="6" max="6" width="22.54296875" customWidth="1"/>
    <col min="7" max="7" width="9" customWidth="1"/>
    <col min="8" max="8" width="33.1796875" customWidth="1"/>
    <col min="9" max="9" width="19.26953125" customWidth="1"/>
    <col min="10" max="10" width="12.7265625" customWidth="1"/>
    <col min="11" max="11" width="36.1796875" customWidth="1"/>
    <col min="12" max="13" width="27.1796875" customWidth="1"/>
    <col min="14" max="14" width="13.54296875" style="1" customWidth="1"/>
  </cols>
  <sheetData>
    <row r="1" spans="1:14" ht="58" customHeight="1">
      <c r="A1" s="72" t="s">
        <v>1273</v>
      </c>
      <c r="B1" s="72"/>
      <c r="C1" s="73"/>
      <c r="D1" s="35"/>
      <c r="E1" s="35"/>
      <c r="F1" s="35"/>
      <c r="G1" s="35"/>
      <c r="H1" s="35"/>
      <c r="I1" s="35"/>
      <c r="J1" s="35"/>
      <c r="K1" s="35"/>
      <c r="L1" s="35"/>
      <c r="M1" s="35"/>
      <c r="N1" s="43"/>
    </row>
    <row r="2" spans="1:14" s="3" customFormat="1" ht="58">
      <c r="A2" s="37" t="s">
        <v>1274</v>
      </c>
      <c r="B2" s="37" t="s">
        <v>1275</v>
      </c>
      <c r="C2" s="44" t="s">
        <v>8</v>
      </c>
      <c r="D2" s="36" t="s">
        <v>1276</v>
      </c>
      <c r="E2" s="36" t="s">
        <v>1277</v>
      </c>
      <c r="F2" s="36" t="s">
        <v>1278</v>
      </c>
      <c r="G2" s="36" t="s">
        <v>1279</v>
      </c>
      <c r="H2" s="36" t="s">
        <v>1280</v>
      </c>
      <c r="I2" s="36" t="s">
        <v>1281</v>
      </c>
      <c r="J2" s="36" t="s">
        <v>1282</v>
      </c>
      <c r="K2" s="36" t="s">
        <v>1283</v>
      </c>
      <c r="L2" s="36" t="s">
        <v>1284</v>
      </c>
      <c r="M2" s="36" t="s">
        <v>1285</v>
      </c>
      <c r="N2" s="45" t="s">
        <v>1286</v>
      </c>
    </row>
    <row r="3" spans="1:14" s="3" customFormat="1" ht="14.5">
      <c r="A3" s="37" t="s">
        <v>36</v>
      </c>
      <c r="B3" s="37" t="s">
        <v>37</v>
      </c>
      <c r="C3" s="44">
        <v>1</v>
      </c>
      <c r="D3" s="37" t="s">
        <v>1287</v>
      </c>
      <c r="E3" s="37" t="s">
        <v>1288</v>
      </c>
      <c r="F3" s="37">
        <f>2002-1982</f>
        <v>20</v>
      </c>
      <c r="G3" s="37" t="s">
        <v>1289</v>
      </c>
      <c r="H3" s="37" t="s">
        <v>1290</v>
      </c>
      <c r="I3" s="37" t="s">
        <v>1291</v>
      </c>
      <c r="J3" s="37" t="s">
        <v>1292</v>
      </c>
      <c r="K3" s="37" t="s">
        <v>1293</v>
      </c>
      <c r="L3" s="37" t="s">
        <v>1294</v>
      </c>
      <c r="M3" s="37" t="s">
        <v>42</v>
      </c>
      <c r="N3" s="44" t="s">
        <v>1295</v>
      </c>
    </row>
    <row r="4" spans="1:14" s="39" customFormat="1" ht="58">
      <c r="A4" s="39" t="s">
        <v>65</v>
      </c>
      <c r="B4" s="39" t="s">
        <v>66</v>
      </c>
      <c r="C4" s="46">
        <v>1</v>
      </c>
      <c r="D4" s="38" t="s">
        <v>1296</v>
      </c>
      <c r="E4" s="39" t="s">
        <v>1288</v>
      </c>
      <c r="F4" s="39">
        <v>27</v>
      </c>
      <c r="G4" s="39">
        <v>20</v>
      </c>
      <c r="H4" s="39" t="s">
        <v>1297</v>
      </c>
      <c r="I4" s="39" t="s">
        <v>1289</v>
      </c>
      <c r="J4" s="39" t="s">
        <v>1289</v>
      </c>
      <c r="K4" s="39" t="s">
        <v>1298</v>
      </c>
      <c r="L4" s="39" t="s">
        <v>42</v>
      </c>
      <c r="M4" s="39" t="s">
        <v>1299</v>
      </c>
      <c r="N4" s="46" t="s">
        <v>1295</v>
      </c>
    </row>
    <row r="5" spans="1:14" ht="14.5">
      <c r="A5" s="39" t="s">
        <v>65</v>
      </c>
      <c r="B5" s="39" t="s">
        <v>66</v>
      </c>
      <c r="C5" s="46">
        <v>2</v>
      </c>
      <c r="D5" s="39" t="s">
        <v>1300</v>
      </c>
      <c r="E5" s="39" t="s">
        <v>1301</v>
      </c>
      <c r="F5" s="39">
        <v>7</v>
      </c>
      <c r="G5" s="39">
        <v>40</v>
      </c>
      <c r="H5" s="39" t="s">
        <v>1302</v>
      </c>
      <c r="I5" s="39" t="s">
        <v>1289</v>
      </c>
      <c r="J5" s="39" t="s">
        <v>1289</v>
      </c>
      <c r="K5" s="39" t="s">
        <v>1303</v>
      </c>
      <c r="L5" s="39" t="s">
        <v>42</v>
      </c>
      <c r="M5" s="39" t="s">
        <v>1304</v>
      </c>
      <c r="N5" s="46" t="s">
        <v>1295</v>
      </c>
    </row>
    <row r="6" spans="1:14" ht="14.5">
      <c r="A6" s="39" t="s">
        <v>65</v>
      </c>
      <c r="B6" s="39" t="s">
        <v>66</v>
      </c>
      <c r="C6" s="46">
        <v>3</v>
      </c>
      <c r="D6" s="39" t="s">
        <v>1305</v>
      </c>
      <c r="E6" s="39" t="s">
        <v>1301</v>
      </c>
      <c r="F6" s="39">
        <v>12</v>
      </c>
      <c r="G6" s="39">
        <v>180</v>
      </c>
      <c r="H6" s="39" t="s">
        <v>1305</v>
      </c>
      <c r="I6" s="39" t="s">
        <v>1289</v>
      </c>
      <c r="J6" s="39" t="s">
        <v>1289</v>
      </c>
      <c r="K6" s="39" t="s">
        <v>1306</v>
      </c>
      <c r="L6" s="39" t="s">
        <v>42</v>
      </c>
      <c r="M6" s="39" t="s">
        <v>1304</v>
      </c>
      <c r="N6" s="46" t="s">
        <v>1295</v>
      </c>
    </row>
    <row r="7" spans="1:14" s="39" customFormat="1" ht="14.5">
      <c r="A7" s="39" t="s">
        <v>65</v>
      </c>
      <c r="B7" s="39" t="s">
        <v>66</v>
      </c>
      <c r="C7" s="46">
        <v>4</v>
      </c>
      <c r="D7" s="39" t="s">
        <v>1305</v>
      </c>
      <c r="E7" s="39" t="s">
        <v>1301</v>
      </c>
      <c r="F7" s="39">
        <v>12</v>
      </c>
      <c r="G7" s="39">
        <v>60</v>
      </c>
      <c r="H7" s="39" t="s">
        <v>1305</v>
      </c>
      <c r="I7" s="39" t="s">
        <v>1289</v>
      </c>
      <c r="J7" s="39" t="s">
        <v>1289</v>
      </c>
      <c r="K7" s="39" t="s">
        <v>1306</v>
      </c>
      <c r="L7" s="39" t="s">
        <v>42</v>
      </c>
      <c r="M7" s="39" t="s">
        <v>1304</v>
      </c>
      <c r="N7" s="46" t="s">
        <v>1295</v>
      </c>
    </row>
    <row r="8" spans="1:14" s="39" customFormat="1" ht="14.5">
      <c r="A8" s="39" t="s">
        <v>65</v>
      </c>
      <c r="B8" s="39" t="s">
        <v>66</v>
      </c>
      <c r="C8" s="46">
        <v>5</v>
      </c>
      <c r="D8" s="39" t="s">
        <v>1305</v>
      </c>
      <c r="E8" s="39" t="s">
        <v>1301</v>
      </c>
      <c r="F8" s="39">
        <v>12</v>
      </c>
      <c r="G8" s="39">
        <v>40</v>
      </c>
      <c r="H8" s="39" t="s">
        <v>1305</v>
      </c>
      <c r="I8" s="39" t="s">
        <v>1289</v>
      </c>
      <c r="J8" s="39" t="s">
        <v>1289</v>
      </c>
      <c r="K8" s="39" t="s">
        <v>1306</v>
      </c>
      <c r="L8" s="39" t="s">
        <v>42</v>
      </c>
      <c r="M8" s="39" t="s">
        <v>1304</v>
      </c>
      <c r="N8" s="46" t="s">
        <v>1295</v>
      </c>
    </row>
    <row r="9" spans="1:14" s="39" customFormat="1" ht="14.5">
      <c r="A9" s="39" t="s">
        <v>65</v>
      </c>
      <c r="B9" s="39" t="s">
        <v>66</v>
      </c>
      <c r="C9" s="46">
        <v>6</v>
      </c>
      <c r="D9" s="39" t="s">
        <v>1300</v>
      </c>
      <c r="E9" s="39" t="s">
        <v>1301</v>
      </c>
      <c r="F9" s="39">
        <v>7</v>
      </c>
      <c r="G9" s="39">
        <v>120</v>
      </c>
      <c r="H9" s="39" t="s">
        <v>1307</v>
      </c>
      <c r="I9" s="39" t="s">
        <v>1289</v>
      </c>
      <c r="J9" s="39" t="s">
        <v>1289</v>
      </c>
      <c r="K9" s="39" t="s">
        <v>1303</v>
      </c>
      <c r="L9" s="39" t="s">
        <v>42</v>
      </c>
      <c r="M9" s="39" t="s">
        <v>1304</v>
      </c>
      <c r="N9" s="46" t="s">
        <v>1295</v>
      </c>
    </row>
    <row r="10" spans="1:14" s="40" customFormat="1" ht="14.5">
      <c r="A10" s="40" t="s">
        <v>65</v>
      </c>
      <c r="B10" s="40" t="s">
        <v>66</v>
      </c>
      <c r="C10" s="47">
        <v>7</v>
      </c>
      <c r="D10" s="40" t="s">
        <v>1300</v>
      </c>
      <c r="E10" s="40" t="s">
        <v>1301</v>
      </c>
      <c r="F10" s="40">
        <v>7</v>
      </c>
      <c r="G10" s="40">
        <v>175</v>
      </c>
      <c r="H10" s="40" t="s">
        <v>1307</v>
      </c>
      <c r="I10" s="40" t="s">
        <v>1289</v>
      </c>
      <c r="J10" s="40" t="s">
        <v>1289</v>
      </c>
      <c r="K10" s="40" t="s">
        <v>1303</v>
      </c>
      <c r="L10" s="40" t="s">
        <v>42</v>
      </c>
      <c r="M10" s="40" t="s">
        <v>1304</v>
      </c>
      <c r="N10" s="47" t="s">
        <v>1295</v>
      </c>
    </row>
    <row r="11" spans="1:14" s="39" customFormat="1" ht="14.5">
      <c r="A11" s="39" t="s">
        <v>81</v>
      </c>
      <c r="B11" s="39" t="s">
        <v>82</v>
      </c>
      <c r="C11" s="46">
        <v>1</v>
      </c>
      <c r="D11" s="38" t="s">
        <v>1308</v>
      </c>
      <c r="E11" s="38" t="s">
        <v>1288</v>
      </c>
      <c r="F11" s="39">
        <v>26</v>
      </c>
      <c r="G11" s="39" t="s">
        <v>42</v>
      </c>
      <c r="H11" s="39" t="s">
        <v>1309</v>
      </c>
      <c r="I11" s="39" t="s">
        <v>1310</v>
      </c>
      <c r="J11" s="39" t="s">
        <v>1311</v>
      </c>
      <c r="K11" s="39" t="s">
        <v>1312</v>
      </c>
      <c r="L11" s="39" t="s">
        <v>42</v>
      </c>
      <c r="M11" s="39" t="s">
        <v>42</v>
      </c>
      <c r="N11" s="46" t="s">
        <v>1295</v>
      </c>
    </row>
    <row r="12" spans="1:14" s="39" customFormat="1" ht="14.5">
      <c r="A12" s="39" t="s">
        <v>81</v>
      </c>
      <c r="B12" s="39" t="s">
        <v>82</v>
      </c>
      <c r="C12" s="46">
        <v>2</v>
      </c>
      <c r="D12" s="39" t="s">
        <v>1313</v>
      </c>
      <c r="E12" s="39" t="s">
        <v>1288</v>
      </c>
      <c r="F12" s="39" t="s">
        <v>42</v>
      </c>
      <c r="G12" s="39" t="s">
        <v>42</v>
      </c>
      <c r="H12" s="39" t="s">
        <v>1314</v>
      </c>
      <c r="I12" s="39" t="s">
        <v>1315</v>
      </c>
      <c r="J12" s="39" t="s">
        <v>1316</v>
      </c>
      <c r="K12" s="39" t="s">
        <v>42</v>
      </c>
      <c r="L12" s="39" t="s">
        <v>42</v>
      </c>
      <c r="M12" s="39" t="s">
        <v>42</v>
      </c>
      <c r="N12" s="46" t="s">
        <v>1295</v>
      </c>
    </row>
    <row r="13" spans="1:14" s="39" customFormat="1" ht="14.5">
      <c r="A13" s="39" t="s">
        <v>81</v>
      </c>
      <c r="B13" s="39" t="s">
        <v>82</v>
      </c>
      <c r="C13" s="46">
        <v>3</v>
      </c>
      <c r="D13" s="39" t="s">
        <v>1317</v>
      </c>
      <c r="E13" s="39" t="s">
        <v>1318</v>
      </c>
      <c r="F13" s="39" t="s">
        <v>42</v>
      </c>
      <c r="G13" s="39" t="s">
        <v>42</v>
      </c>
      <c r="H13" s="39" t="s">
        <v>1317</v>
      </c>
      <c r="I13" s="39" t="s">
        <v>1319</v>
      </c>
      <c r="J13" s="48" t="s">
        <v>1320</v>
      </c>
      <c r="K13" s="39" t="s">
        <v>42</v>
      </c>
      <c r="L13" s="39" t="s">
        <v>42</v>
      </c>
      <c r="M13" s="39" t="s">
        <v>42</v>
      </c>
      <c r="N13" s="46" t="s">
        <v>1295</v>
      </c>
    </row>
    <row r="14" spans="1:14" s="39" customFormat="1" ht="14.5">
      <c r="A14" s="39" t="s">
        <v>81</v>
      </c>
      <c r="B14" s="39" t="s">
        <v>82</v>
      </c>
      <c r="C14" s="46">
        <v>4</v>
      </c>
      <c r="D14" s="39" t="s">
        <v>1321</v>
      </c>
      <c r="E14" s="39" t="s">
        <v>1318</v>
      </c>
      <c r="F14" s="39" t="s">
        <v>42</v>
      </c>
      <c r="G14" s="39" t="s">
        <v>42</v>
      </c>
      <c r="H14" s="39" t="s">
        <v>1321</v>
      </c>
      <c r="I14" s="39" t="s">
        <v>1322</v>
      </c>
      <c r="J14" s="49" t="s">
        <v>1323</v>
      </c>
      <c r="K14" s="39" t="s">
        <v>42</v>
      </c>
      <c r="L14" s="39" t="s">
        <v>42</v>
      </c>
      <c r="M14" s="39" t="s">
        <v>42</v>
      </c>
      <c r="N14" s="46" t="s">
        <v>1295</v>
      </c>
    </row>
    <row r="15" spans="1:14" s="39" customFormat="1" ht="14.5">
      <c r="A15" s="39" t="s">
        <v>81</v>
      </c>
      <c r="B15" s="39" t="s">
        <v>82</v>
      </c>
      <c r="C15" s="46">
        <v>5</v>
      </c>
      <c r="D15" s="39" t="s">
        <v>1324</v>
      </c>
      <c r="E15" s="39" t="s">
        <v>1318</v>
      </c>
      <c r="F15" s="39" t="s">
        <v>42</v>
      </c>
      <c r="G15" s="39" t="s">
        <v>42</v>
      </c>
      <c r="H15" s="39" t="s">
        <v>1324</v>
      </c>
      <c r="I15" s="39" t="s">
        <v>1325</v>
      </c>
      <c r="J15" s="48" t="s">
        <v>1326</v>
      </c>
      <c r="K15" s="39" t="s">
        <v>42</v>
      </c>
      <c r="L15" s="39" t="s">
        <v>42</v>
      </c>
      <c r="M15" s="39" t="s">
        <v>42</v>
      </c>
      <c r="N15" s="46" t="s">
        <v>1295</v>
      </c>
    </row>
    <row r="16" spans="1:14" s="40" customFormat="1" ht="14.5">
      <c r="A16" s="40" t="s">
        <v>81</v>
      </c>
      <c r="B16" s="40" t="s">
        <v>82</v>
      </c>
      <c r="C16" s="47">
        <v>6</v>
      </c>
      <c r="D16" s="40" t="s">
        <v>1327</v>
      </c>
      <c r="E16" s="40" t="s">
        <v>1318</v>
      </c>
      <c r="F16" s="40" t="s">
        <v>42</v>
      </c>
      <c r="G16" s="40" t="s">
        <v>42</v>
      </c>
      <c r="H16" s="40" t="s">
        <v>1327</v>
      </c>
      <c r="I16" s="42" t="s">
        <v>1328</v>
      </c>
      <c r="J16" s="50" t="s">
        <v>1329</v>
      </c>
      <c r="K16" s="40" t="s">
        <v>42</v>
      </c>
      <c r="L16" s="40" t="s">
        <v>42</v>
      </c>
      <c r="M16" s="40" t="s">
        <v>42</v>
      </c>
      <c r="N16" s="47" t="s">
        <v>1295</v>
      </c>
    </row>
    <row r="17" spans="1:14" s="39" customFormat="1" ht="29">
      <c r="A17" s="39" t="s">
        <v>89</v>
      </c>
      <c r="B17" s="39" t="s">
        <v>90</v>
      </c>
      <c r="C17" s="46">
        <v>1</v>
      </c>
      <c r="D17" s="39" t="s">
        <v>1297</v>
      </c>
      <c r="E17" s="39" t="s">
        <v>1288</v>
      </c>
      <c r="F17" s="39">
        <v>32</v>
      </c>
      <c r="G17" s="39" t="s">
        <v>1289</v>
      </c>
      <c r="H17" s="39" t="s">
        <v>1297</v>
      </c>
      <c r="I17" s="38" t="s">
        <v>1330</v>
      </c>
      <c r="J17" s="39" t="s">
        <v>1289</v>
      </c>
      <c r="K17" s="39" t="s">
        <v>1298</v>
      </c>
      <c r="L17" s="39" t="s">
        <v>42</v>
      </c>
      <c r="M17" s="39" t="s">
        <v>1289</v>
      </c>
      <c r="N17" s="46" t="s">
        <v>1295</v>
      </c>
    </row>
    <row r="18" spans="1:14" s="39" customFormat="1" ht="29">
      <c r="A18" s="39" t="s">
        <v>89</v>
      </c>
      <c r="B18" s="39" t="s">
        <v>90</v>
      </c>
      <c r="C18" s="46">
        <v>2</v>
      </c>
      <c r="D18" s="39" t="s">
        <v>1331</v>
      </c>
      <c r="E18" s="39" t="s">
        <v>1301</v>
      </c>
      <c r="F18" s="39" t="s">
        <v>1289</v>
      </c>
      <c r="G18" s="39" t="s">
        <v>1289</v>
      </c>
      <c r="H18" s="39" t="s">
        <v>1331</v>
      </c>
      <c r="I18" s="38" t="s">
        <v>1330</v>
      </c>
      <c r="J18" s="39" t="s">
        <v>1289</v>
      </c>
      <c r="K18" s="39" t="s">
        <v>42</v>
      </c>
      <c r="L18" s="39" t="s">
        <v>42</v>
      </c>
      <c r="M18" s="39" t="s">
        <v>1304</v>
      </c>
      <c r="N18" s="46" t="s">
        <v>1295</v>
      </c>
    </row>
    <row r="19" spans="1:14" s="39" customFormat="1" ht="29">
      <c r="A19" s="39" t="s">
        <v>89</v>
      </c>
      <c r="B19" s="39" t="s">
        <v>90</v>
      </c>
      <c r="C19" s="46">
        <v>3</v>
      </c>
      <c r="D19" s="39" t="s">
        <v>1332</v>
      </c>
      <c r="E19" s="39" t="s">
        <v>1301</v>
      </c>
      <c r="F19" s="39" t="s">
        <v>1289</v>
      </c>
      <c r="G19" s="39" t="s">
        <v>1289</v>
      </c>
      <c r="H19" s="39" t="s">
        <v>1332</v>
      </c>
      <c r="I19" s="38" t="s">
        <v>1330</v>
      </c>
      <c r="J19" s="39" t="s">
        <v>1289</v>
      </c>
      <c r="K19" s="39" t="s">
        <v>42</v>
      </c>
      <c r="L19" s="39" t="s">
        <v>42</v>
      </c>
      <c r="M19" s="39" t="s">
        <v>1304</v>
      </c>
      <c r="N19" s="46" t="s">
        <v>1295</v>
      </c>
    </row>
    <row r="20" spans="1:14" s="39" customFormat="1" ht="29">
      <c r="A20" s="39" t="s">
        <v>89</v>
      </c>
      <c r="B20" s="39" t="s">
        <v>90</v>
      </c>
      <c r="C20" s="46">
        <v>4</v>
      </c>
      <c r="D20" s="39" t="s">
        <v>1333</v>
      </c>
      <c r="E20" s="39" t="s">
        <v>1301</v>
      </c>
      <c r="F20" s="39" t="s">
        <v>1289</v>
      </c>
      <c r="G20" s="39" t="s">
        <v>1289</v>
      </c>
      <c r="H20" s="39" t="s">
        <v>1333</v>
      </c>
      <c r="I20" s="38" t="s">
        <v>1330</v>
      </c>
      <c r="J20" s="39" t="s">
        <v>1289</v>
      </c>
      <c r="K20" s="39" t="s">
        <v>42</v>
      </c>
      <c r="L20" s="39" t="s">
        <v>42</v>
      </c>
      <c r="M20" s="39" t="s">
        <v>1304</v>
      </c>
      <c r="N20" s="46" t="s">
        <v>1295</v>
      </c>
    </row>
    <row r="21" spans="1:14" s="37" customFormat="1" ht="29">
      <c r="A21" s="37" t="s">
        <v>89</v>
      </c>
      <c r="B21" s="37" t="s">
        <v>90</v>
      </c>
      <c r="C21" s="44">
        <v>5</v>
      </c>
      <c r="D21" s="37" t="s">
        <v>1305</v>
      </c>
      <c r="E21" s="37" t="s">
        <v>1301</v>
      </c>
      <c r="F21" s="37" t="s">
        <v>1289</v>
      </c>
      <c r="G21" s="37" t="s">
        <v>1289</v>
      </c>
      <c r="H21" s="37" t="s">
        <v>1305</v>
      </c>
      <c r="I21" s="36" t="s">
        <v>1330</v>
      </c>
      <c r="J21" s="37" t="s">
        <v>1289</v>
      </c>
      <c r="K21" s="37" t="s">
        <v>42</v>
      </c>
      <c r="L21" s="37" t="s">
        <v>42</v>
      </c>
      <c r="M21" s="37" t="s">
        <v>1304</v>
      </c>
      <c r="N21" s="44" t="s">
        <v>1295</v>
      </c>
    </row>
    <row r="22" spans="1:14" s="39" customFormat="1" ht="29">
      <c r="A22" s="39" t="s">
        <v>104</v>
      </c>
      <c r="B22" s="39" t="s">
        <v>105</v>
      </c>
      <c r="C22" s="46">
        <v>1</v>
      </c>
      <c r="D22" s="39" t="s">
        <v>1297</v>
      </c>
      <c r="E22" s="39" t="s">
        <v>1288</v>
      </c>
      <c r="F22" s="39">
        <v>32</v>
      </c>
      <c r="G22" s="39" t="s">
        <v>1289</v>
      </c>
      <c r="H22" s="39" t="s">
        <v>1297</v>
      </c>
      <c r="I22" s="38" t="s">
        <v>1334</v>
      </c>
      <c r="J22" s="39" t="s">
        <v>1289</v>
      </c>
      <c r="K22" s="39" t="s">
        <v>1298</v>
      </c>
      <c r="L22" s="39" t="s">
        <v>42</v>
      </c>
      <c r="M22" s="39" t="s">
        <v>42</v>
      </c>
      <c r="N22" s="46" t="s">
        <v>1295</v>
      </c>
    </row>
    <row r="23" spans="1:14" s="39" customFormat="1" ht="29">
      <c r="A23" s="39" t="s">
        <v>104</v>
      </c>
      <c r="B23" s="39" t="s">
        <v>105</v>
      </c>
      <c r="C23" s="46">
        <v>2</v>
      </c>
      <c r="D23" s="39" t="s">
        <v>1300</v>
      </c>
      <c r="E23" s="39" t="s">
        <v>1301</v>
      </c>
      <c r="F23" s="39" t="s">
        <v>1289</v>
      </c>
      <c r="G23" s="39" t="s">
        <v>1289</v>
      </c>
      <c r="H23" s="39" t="s">
        <v>1335</v>
      </c>
      <c r="I23" s="38" t="s">
        <v>1334</v>
      </c>
      <c r="J23" s="39" t="s">
        <v>1289</v>
      </c>
      <c r="K23" s="39" t="s">
        <v>42</v>
      </c>
      <c r="L23" s="39" t="s">
        <v>42</v>
      </c>
      <c r="M23" s="39" t="s">
        <v>1336</v>
      </c>
      <c r="N23" s="46" t="s">
        <v>1295</v>
      </c>
    </row>
    <row r="24" spans="1:14" s="39" customFormat="1" ht="29">
      <c r="A24" s="39" t="s">
        <v>104</v>
      </c>
      <c r="B24" s="39" t="s">
        <v>105</v>
      </c>
      <c r="C24" s="46">
        <v>3</v>
      </c>
      <c r="D24" s="39" t="s">
        <v>1300</v>
      </c>
      <c r="E24" s="39" t="s">
        <v>1301</v>
      </c>
      <c r="F24" s="39" t="s">
        <v>1289</v>
      </c>
      <c r="G24" s="39" t="s">
        <v>1289</v>
      </c>
      <c r="H24" s="39" t="s">
        <v>1337</v>
      </c>
      <c r="I24" s="38" t="s">
        <v>1334</v>
      </c>
      <c r="J24" s="39" t="s">
        <v>1289</v>
      </c>
      <c r="K24" s="39" t="s">
        <v>42</v>
      </c>
      <c r="L24" s="39" t="s">
        <v>42</v>
      </c>
      <c r="M24" s="39" t="s">
        <v>1336</v>
      </c>
      <c r="N24" s="46" t="s">
        <v>1295</v>
      </c>
    </row>
    <row r="25" spans="1:14" s="39" customFormat="1" ht="29">
      <c r="A25" s="39" t="s">
        <v>104</v>
      </c>
      <c r="B25" s="39" t="s">
        <v>105</v>
      </c>
      <c r="C25" s="46">
        <v>4</v>
      </c>
      <c r="D25" s="39" t="s">
        <v>1300</v>
      </c>
      <c r="E25" s="39" t="s">
        <v>1301</v>
      </c>
      <c r="F25" s="39" t="s">
        <v>1289</v>
      </c>
      <c r="G25" s="39" t="s">
        <v>1289</v>
      </c>
      <c r="H25" s="39" t="s">
        <v>1338</v>
      </c>
      <c r="I25" s="38" t="s">
        <v>1334</v>
      </c>
      <c r="J25" s="39" t="s">
        <v>1289</v>
      </c>
      <c r="K25" s="39" t="s">
        <v>42</v>
      </c>
      <c r="L25" s="39" t="s">
        <v>42</v>
      </c>
      <c r="M25" s="39" t="s">
        <v>1336</v>
      </c>
      <c r="N25" s="46" t="s">
        <v>1295</v>
      </c>
    </row>
    <row r="26" spans="1:14" s="39" customFormat="1" ht="29">
      <c r="A26" s="39" t="s">
        <v>104</v>
      </c>
      <c r="B26" s="39" t="s">
        <v>105</v>
      </c>
      <c r="C26" s="46">
        <v>5</v>
      </c>
      <c r="D26" s="39" t="s">
        <v>1300</v>
      </c>
      <c r="E26" s="39" t="s">
        <v>1301</v>
      </c>
      <c r="F26" s="39" t="s">
        <v>1289</v>
      </c>
      <c r="G26" s="39" t="s">
        <v>1289</v>
      </c>
      <c r="H26" s="39" t="s">
        <v>1333</v>
      </c>
      <c r="I26" s="38" t="s">
        <v>1334</v>
      </c>
      <c r="J26" s="39" t="s">
        <v>1289</v>
      </c>
      <c r="K26" s="39" t="s">
        <v>42</v>
      </c>
      <c r="L26" s="39" t="s">
        <v>42</v>
      </c>
      <c r="M26" s="39" t="s">
        <v>1336</v>
      </c>
      <c r="N26" s="46" t="s">
        <v>1295</v>
      </c>
    </row>
    <row r="27" spans="1:14" s="37" customFormat="1" ht="29">
      <c r="A27" s="37" t="s">
        <v>104</v>
      </c>
      <c r="B27" s="37" t="s">
        <v>105</v>
      </c>
      <c r="C27" s="44">
        <v>6</v>
      </c>
      <c r="D27" s="37" t="s">
        <v>1300</v>
      </c>
      <c r="E27" s="37" t="s">
        <v>1301</v>
      </c>
      <c r="F27" s="37" t="s">
        <v>1289</v>
      </c>
      <c r="G27" s="37" t="s">
        <v>1289</v>
      </c>
      <c r="H27" s="37" t="s">
        <v>1333</v>
      </c>
      <c r="I27" s="36" t="s">
        <v>1334</v>
      </c>
      <c r="J27" s="37" t="s">
        <v>1289</v>
      </c>
      <c r="K27" s="37" t="s">
        <v>42</v>
      </c>
      <c r="L27" s="37" t="s">
        <v>42</v>
      </c>
      <c r="M27" s="37" t="s">
        <v>1336</v>
      </c>
      <c r="N27" s="44" t="s">
        <v>1295</v>
      </c>
    </row>
    <row r="28" spans="1:14" s="39" customFormat="1" ht="29">
      <c r="A28" s="39" t="s">
        <v>114</v>
      </c>
      <c r="B28" s="39" t="s">
        <v>115</v>
      </c>
      <c r="C28" s="46">
        <v>1</v>
      </c>
      <c r="D28" s="39" t="s">
        <v>1308</v>
      </c>
      <c r="E28" s="39" t="s">
        <v>1339</v>
      </c>
      <c r="F28" s="39">
        <v>12</v>
      </c>
      <c r="H28" s="39" t="s">
        <v>1308</v>
      </c>
      <c r="I28" s="38" t="s">
        <v>1340</v>
      </c>
      <c r="J28" s="39" t="s">
        <v>1289</v>
      </c>
      <c r="K28" s="39" t="s">
        <v>1341</v>
      </c>
      <c r="L28" s="39" t="s">
        <v>42</v>
      </c>
      <c r="M28" s="39" t="s">
        <v>42</v>
      </c>
      <c r="N28" s="46" t="s">
        <v>1295</v>
      </c>
    </row>
    <row r="29" spans="1:14" s="39" customFormat="1" ht="29">
      <c r="A29" s="39" t="s">
        <v>114</v>
      </c>
      <c r="B29" s="39" t="s">
        <v>115</v>
      </c>
      <c r="C29" s="46">
        <v>2</v>
      </c>
      <c r="D29" s="39" t="s">
        <v>1313</v>
      </c>
      <c r="E29" s="39" t="s">
        <v>1339</v>
      </c>
      <c r="F29" s="39">
        <v>12</v>
      </c>
      <c r="H29" s="39" t="s">
        <v>1342</v>
      </c>
      <c r="I29" s="38" t="s">
        <v>1340</v>
      </c>
      <c r="J29" s="39" t="s">
        <v>1289</v>
      </c>
      <c r="K29" s="39" t="s">
        <v>1298</v>
      </c>
      <c r="L29" s="39" t="s">
        <v>42</v>
      </c>
      <c r="M29" s="39" t="s">
        <v>42</v>
      </c>
      <c r="N29" s="46" t="s">
        <v>1295</v>
      </c>
    </row>
    <row r="30" spans="1:14" s="39" customFormat="1" ht="29">
      <c r="A30" s="39" t="s">
        <v>114</v>
      </c>
      <c r="B30" s="39" t="s">
        <v>115</v>
      </c>
      <c r="C30" s="46">
        <v>3</v>
      </c>
      <c r="D30" s="39" t="s">
        <v>1317</v>
      </c>
      <c r="E30" s="39" t="s">
        <v>1301</v>
      </c>
      <c r="F30" s="39">
        <v>16</v>
      </c>
      <c r="H30" s="39" t="s">
        <v>1317</v>
      </c>
      <c r="I30" s="38" t="s">
        <v>1340</v>
      </c>
      <c r="J30" s="39" t="s">
        <v>1289</v>
      </c>
      <c r="K30" s="39" t="s">
        <v>42</v>
      </c>
      <c r="L30" s="39" t="s">
        <v>42</v>
      </c>
      <c r="M30" s="39" t="s">
        <v>1304</v>
      </c>
      <c r="N30" s="46" t="s">
        <v>1295</v>
      </c>
    </row>
    <row r="31" spans="1:14" s="39" customFormat="1" ht="29">
      <c r="A31" s="39" t="s">
        <v>114</v>
      </c>
      <c r="B31" s="39" t="s">
        <v>115</v>
      </c>
      <c r="C31" s="46">
        <v>4</v>
      </c>
      <c r="D31" s="39" t="s">
        <v>1321</v>
      </c>
      <c r="E31" s="39" t="s">
        <v>1301</v>
      </c>
      <c r="F31" s="39">
        <v>16</v>
      </c>
      <c r="H31" s="39" t="s">
        <v>1321</v>
      </c>
      <c r="I31" s="38" t="s">
        <v>1340</v>
      </c>
      <c r="J31" s="39" t="s">
        <v>1289</v>
      </c>
      <c r="K31" s="39" t="s">
        <v>42</v>
      </c>
      <c r="L31" s="39" t="s">
        <v>42</v>
      </c>
      <c r="M31" s="39" t="s">
        <v>1304</v>
      </c>
      <c r="N31" s="46" t="s">
        <v>1295</v>
      </c>
    </row>
    <row r="32" spans="1:14" s="39" customFormat="1" ht="29">
      <c r="A32" s="39" t="s">
        <v>114</v>
      </c>
      <c r="B32" s="39" t="s">
        <v>115</v>
      </c>
      <c r="C32" s="46">
        <v>5</v>
      </c>
      <c r="D32" s="39" t="s">
        <v>1324</v>
      </c>
      <c r="E32" s="39" t="s">
        <v>1301</v>
      </c>
      <c r="F32" s="39">
        <v>16</v>
      </c>
      <c r="H32" s="39" t="s">
        <v>1324</v>
      </c>
      <c r="I32" s="38" t="s">
        <v>1340</v>
      </c>
      <c r="J32" s="39" t="s">
        <v>1289</v>
      </c>
      <c r="K32" s="39" t="s">
        <v>42</v>
      </c>
      <c r="L32" s="39" t="s">
        <v>42</v>
      </c>
      <c r="M32" s="39" t="s">
        <v>1304</v>
      </c>
      <c r="N32" s="46" t="s">
        <v>1295</v>
      </c>
    </row>
    <row r="33" spans="1:14" s="37" customFormat="1" ht="14.5">
      <c r="A33" s="37" t="s">
        <v>114</v>
      </c>
      <c r="B33" s="37" t="s">
        <v>115</v>
      </c>
      <c r="C33" s="44">
        <v>6</v>
      </c>
      <c r="D33" s="37" t="s">
        <v>1327</v>
      </c>
      <c r="E33" s="37" t="s">
        <v>1301</v>
      </c>
      <c r="F33" s="37">
        <v>16</v>
      </c>
      <c r="H33" s="37" t="s">
        <v>1327</v>
      </c>
      <c r="I33" s="37" t="s">
        <v>1343</v>
      </c>
      <c r="J33" s="37" t="s">
        <v>1289</v>
      </c>
      <c r="K33" s="37" t="s">
        <v>42</v>
      </c>
      <c r="L33" s="37" t="s">
        <v>42</v>
      </c>
      <c r="M33" s="37" t="s">
        <v>1304</v>
      </c>
      <c r="N33" s="44" t="s">
        <v>1295</v>
      </c>
    </row>
    <row r="34" spans="1:14" s="39" customFormat="1" ht="14.5">
      <c r="A34" s="39" t="s">
        <v>121</v>
      </c>
      <c r="B34" s="39" t="s">
        <v>122</v>
      </c>
      <c r="C34" s="46">
        <v>1</v>
      </c>
      <c r="D34" s="39" t="s">
        <v>1300</v>
      </c>
      <c r="E34" s="39" t="s">
        <v>1339</v>
      </c>
      <c r="F34" s="39" t="s">
        <v>42</v>
      </c>
      <c r="G34" s="39" t="s">
        <v>42</v>
      </c>
      <c r="H34" s="39" t="s">
        <v>1344</v>
      </c>
      <c r="I34" s="38" t="s">
        <v>1345</v>
      </c>
      <c r="J34" s="39" t="s">
        <v>1289</v>
      </c>
      <c r="K34" s="39" t="s">
        <v>1346</v>
      </c>
      <c r="L34" s="39" t="s">
        <v>42</v>
      </c>
      <c r="M34" s="39" t="s">
        <v>42</v>
      </c>
      <c r="N34" s="46" t="s">
        <v>1347</v>
      </c>
    </row>
    <row r="35" spans="1:14" s="39" customFormat="1" ht="14.5">
      <c r="A35" s="39" t="s">
        <v>121</v>
      </c>
      <c r="B35" s="39" t="s">
        <v>122</v>
      </c>
      <c r="C35" s="46">
        <v>2</v>
      </c>
      <c r="D35" s="39" t="s">
        <v>1300</v>
      </c>
      <c r="E35" s="39" t="s">
        <v>1339</v>
      </c>
      <c r="F35" s="39" t="s">
        <v>42</v>
      </c>
      <c r="G35" s="39" t="s">
        <v>42</v>
      </c>
      <c r="H35" s="39" t="s">
        <v>1348</v>
      </c>
      <c r="I35" s="38" t="s">
        <v>1349</v>
      </c>
      <c r="J35" s="39" t="s">
        <v>1289</v>
      </c>
      <c r="K35" s="39" t="s">
        <v>1346</v>
      </c>
      <c r="L35" s="39" t="s">
        <v>42</v>
      </c>
      <c r="M35" s="39" t="s">
        <v>42</v>
      </c>
      <c r="N35" s="46" t="s">
        <v>1347</v>
      </c>
    </row>
    <row r="36" spans="1:14" s="39" customFormat="1" ht="14.5">
      <c r="A36" s="39" t="s">
        <v>121</v>
      </c>
      <c r="B36" s="39" t="s">
        <v>122</v>
      </c>
      <c r="C36" s="46">
        <v>3</v>
      </c>
      <c r="D36" s="39" t="s">
        <v>1300</v>
      </c>
      <c r="E36" s="39" t="s">
        <v>1301</v>
      </c>
      <c r="F36" s="39" t="s">
        <v>42</v>
      </c>
      <c r="G36" s="39" t="s">
        <v>42</v>
      </c>
      <c r="H36" s="39" t="s">
        <v>1344</v>
      </c>
      <c r="I36" s="38" t="s">
        <v>1345</v>
      </c>
      <c r="J36" s="39" t="s">
        <v>1289</v>
      </c>
      <c r="K36" s="39" t="s">
        <v>1350</v>
      </c>
      <c r="L36" s="39" t="s">
        <v>42</v>
      </c>
      <c r="M36" s="39" t="s">
        <v>1351</v>
      </c>
      <c r="N36" s="46" t="s">
        <v>1347</v>
      </c>
    </row>
    <row r="37" spans="1:14" s="39" customFormat="1" ht="14.5">
      <c r="A37" s="39" t="s">
        <v>121</v>
      </c>
      <c r="B37" s="39" t="s">
        <v>122</v>
      </c>
      <c r="C37" s="46">
        <v>4</v>
      </c>
      <c r="D37" s="39" t="s">
        <v>1300</v>
      </c>
      <c r="E37" s="39" t="s">
        <v>1301</v>
      </c>
      <c r="F37" s="39" t="s">
        <v>42</v>
      </c>
      <c r="G37" s="39" t="s">
        <v>42</v>
      </c>
      <c r="H37" s="39" t="s">
        <v>1352</v>
      </c>
      <c r="I37" s="38" t="s">
        <v>1345</v>
      </c>
      <c r="J37" s="39" t="s">
        <v>1289</v>
      </c>
      <c r="K37" s="39" t="s">
        <v>1350</v>
      </c>
      <c r="L37" s="39" t="s">
        <v>42</v>
      </c>
      <c r="M37" s="39" t="s">
        <v>1351</v>
      </c>
      <c r="N37" s="46" t="s">
        <v>1347</v>
      </c>
    </row>
    <row r="38" spans="1:14" s="39" customFormat="1" ht="14.5">
      <c r="A38" s="39" t="s">
        <v>121</v>
      </c>
      <c r="B38" s="39" t="s">
        <v>122</v>
      </c>
      <c r="C38" s="46">
        <v>5</v>
      </c>
      <c r="D38" s="39" t="s">
        <v>1300</v>
      </c>
      <c r="E38" s="39" t="s">
        <v>1301</v>
      </c>
      <c r="F38" s="39" t="s">
        <v>42</v>
      </c>
      <c r="G38" s="39" t="s">
        <v>42</v>
      </c>
      <c r="H38" s="39" t="s">
        <v>1348</v>
      </c>
      <c r="I38" s="38" t="s">
        <v>1349</v>
      </c>
      <c r="J38" s="39" t="s">
        <v>1289</v>
      </c>
      <c r="K38" s="39" t="s">
        <v>1350</v>
      </c>
      <c r="L38" s="39" t="s">
        <v>42</v>
      </c>
      <c r="M38" s="39" t="s">
        <v>1351</v>
      </c>
      <c r="N38" s="46" t="s">
        <v>1347</v>
      </c>
    </row>
    <row r="39" spans="1:14" s="39" customFormat="1" ht="14.5">
      <c r="A39" s="39" t="s">
        <v>121</v>
      </c>
      <c r="B39" s="39" t="s">
        <v>122</v>
      </c>
      <c r="C39" s="46">
        <v>6</v>
      </c>
      <c r="D39" s="39" t="s">
        <v>1300</v>
      </c>
      <c r="E39" s="39" t="s">
        <v>1301</v>
      </c>
      <c r="F39" s="39" t="s">
        <v>42</v>
      </c>
      <c r="G39" s="39" t="s">
        <v>42</v>
      </c>
      <c r="H39" s="39" t="s">
        <v>1348</v>
      </c>
      <c r="I39" s="38" t="s">
        <v>1349</v>
      </c>
      <c r="J39" s="39" t="s">
        <v>1289</v>
      </c>
      <c r="K39" s="39" t="s">
        <v>1350</v>
      </c>
      <c r="L39" s="39" t="s">
        <v>42</v>
      </c>
      <c r="M39" s="39" t="s">
        <v>1351</v>
      </c>
      <c r="N39" s="46" t="s">
        <v>1347</v>
      </c>
    </row>
    <row r="40" spans="1:14" s="37" customFormat="1" ht="14.5">
      <c r="A40" s="37" t="s">
        <v>121</v>
      </c>
      <c r="B40" s="37" t="s">
        <v>122</v>
      </c>
      <c r="C40" s="44">
        <v>7</v>
      </c>
      <c r="D40" s="37" t="s">
        <v>1300</v>
      </c>
      <c r="E40" s="37" t="s">
        <v>1301</v>
      </c>
      <c r="F40" s="37" t="s">
        <v>42</v>
      </c>
      <c r="G40" s="37" t="s">
        <v>42</v>
      </c>
      <c r="H40" s="37" t="s">
        <v>1353</v>
      </c>
      <c r="I40" s="36" t="s">
        <v>1349</v>
      </c>
      <c r="J40" s="37" t="s">
        <v>1289</v>
      </c>
      <c r="K40" s="37" t="s">
        <v>1350</v>
      </c>
      <c r="L40" s="37" t="s">
        <v>42</v>
      </c>
      <c r="M40" s="39" t="s">
        <v>1351</v>
      </c>
      <c r="N40" s="44" t="s">
        <v>1347</v>
      </c>
    </row>
    <row r="41" spans="1:14" s="39" customFormat="1" ht="14.5">
      <c r="A41" s="39" t="s">
        <v>137</v>
      </c>
      <c r="B41" s="39" t="s">
        <v>138</v>
      </c>
      <c r="C41" s="46">
        <v>1</v>
      </c>
      <c r="D41" s="39" t="s">
        <v>1297</v>
      </c>
      <c r="E41" s="39" t="s">
        <v>1339</v>
      </c>
      <c r="F41" s="39" t="s">
        <v>42</v>
      </c>
      <c r="G41" s="39" t="s">
        <v>42</v>
      </c>
      <c r="H41" s="39" t="s">
        <v>1354</v>
      </c>
      <c r="I41" s="38" t="s">
        <v>1289</v>
      </c>
      <c r="J41" s="38" t="s">
        <v>1289</v>
      </c>
      <c r="K41" s="39" t="s">
        <v>1298</v>
      </c>
      <c r="L41" s="39" t="s">
        <v>42</v>
      </c>
      <c r="M41" s="39" t="s">
        <v>1355</v>
      </c>
      <c r="N41" s="46" t="s">
        <v>1356</v>
      </c>
    </row>
    <row r="42" spans="1:14" s="39" customFormat="1" ht="14.5">
      <c r="A42" s="39" t="s">
        <v>137</v>
      </c>
      <c r="B42" s="39" t="s">
        <v>138</v>
      </c>
      <c r="C42" s="46">
        <v>2</v>
      </c>
      <c r="D42" s="39" t="s">
        <v>1331</v>
      </c>
      <c r="E42" s="39" t="s">
        <v>1301</v>
      </c>
      <c r="F42" s="39" t="s">
        <v>42</v>
      </c>
      <c r="G42" s="39" t="s">
        <v>42</v>
      </c>
      <c r="H42" s="39" t="s">
        <v>1357</v>
      </c>
      <c r="I42" s="38" t="s">
        <v>1289</v>
      </c>
      <c r="J42" s="38" t="s">
        <v>1289</v>
      </c>
      <c r="K42" s="39" t="s">
        <v>42</v>
      </c>
      <c r="L42" s="39" t="s">
        <v>42</v>
      </c>
      <c r="M42" s="39" t="s">
        <v>42</v>
      </c>
      <c r="N42" s="46" t="s">
        <v>1356</v>
      </c>
    </row>
    <row r="43" spans="1:14" s="39" customFormat="1" ht="14.5">
      <c r="A43" s="39" t="s">
        <v>137</v>
      </c>
      <c r="B43" s="39" t="s">
        <v>138</v>
      </c>
      <c r="C43" s="46">
        <v>3</v>
      </c>
      <c r="D43" s="39" t="s">
        <v>1305</v>
      </c>
      <c r="E43" s="39" t="s">
        <v>1301</v>
      </c>
      <c r="F43" s="39" t="s">
        <v>42</v>
      </c>
      <c r="G43" s="39" t="s">
        <v>42</v>
      </c>
      <c r="H43" s="39" t="s">
        <v>1357</v>
      </c>
      <c r="I43" s="38" t="s">
        <v>1289</v>
      </c>
      <c r="J43" s="38" t="s">
        <v>1289</v>
      </c>
      <c r="K43" s="39" t="s">
        <v>42</v>
      </c>
      <c r="L43" s="39" t="s">
        <v>42</v>
      </c>
      <c r="M43" s="39" t="s">
        <v>42</v>
      </c>
      <c r="N43" s="46" t="s">
        <v>1356</v>
      </c>
    </row>
    <row r="44" spans="1:14" s="39" customFormat="1" ht="14.5">
      <c r="A44" s="39" t="s">
        <v>137</v>
      </c>
      <c r="B44" s="39" t="s">
        <v>138</v>
      </c>
      <c r="C44" s="46">
        <v>4</v>
      </c>
      <c r="D44" s="39" t="s">
        <v>1358</v>
      </c>
      <c r="E44" s="39" t="s">
        <v>1301</v>
      </c>
      <c r="F44" s="39" t="s">
        <v>42</v>
      </c>
      <c r="G44" s="39" t="s">
        <v>42</v>
      </c>
      <c r="H44" s="39" t="s">
        <v>1357</v>
      </c>
      <c r="I44" s="38" t="s">
        <v>1289</v>
      </c>
      <c r="J44" s="38" t="s">
        <v>1289</v>
      </c>
      <c r="K44" s="39" t="s">
        <v>42</v>
      </c>
      <c r="L44" s="39" t="s">
        <v>42</v>
      </c>
      <c r="M44" s="39" t="s">
        <v>42</v>
      </c>
      <c r="N44" s="46" t="s">
        <v>1356</v>
      </c>
    </row>
    <row r="45" spans="1:14" s="39" customFormat="1" ht="14.5">
      <c r="A45" s="39" t="s">
        <v>137</v>
      </c>
      <c r="B45" s="39" t="s">
        <v>138</v>
      </c>
      <c r="C45" s="46">
        <v>5</v>
      </c>
      <c r="D45" s="39" t="s">
        <v>1359</v>
      </c>
      <c r="E45" s="39" t="s">
        <v>1301</v>
      </c>
      <c r="F45" s="39" t="s">
        <v>42</v>
      </c>
      <c r="G45" s="39" t="s">
        <v>42</v>
      </c>
      <c r="H45" s="39" t="s">
        <v>1357</v>
      </c>
      <c r="I45" s="38" t="s">
        <v>1289</v>
      </c>
      <c r="J45" s="38" t="s">
        <v>1289</v>
      </c>
      <c r="K45" s="39" t="s">
        <v>42</v>
      </c>
      <c r="L45" s="39" t="s">
        <v>42</v>
      </c>
      <c r="M45" s="39" t="s">
        <v>42</v>
      </c>
      <c r="N45" s="46" t="s">
        <v>1356</v>
      </c>
    </row>
    <row r="46" spans="1:14" s="39" customFormat="1" ht="14.5">
      <c r="A46" s="39" t="s">
        <v>137</v>
      </c>
      <c r="B46" s="39" t="s">
        <v>138</v>
      </c>
      <c r="C46" s="46">
        <v>6</v>
      </c>
      <c r="D46" s="39" t="s">
        <v>1297</v>
      </c>
      <c r="E46" s="39" t="s">
        <v>1301</v>
      </c>
      <c r="F46" s="39" t="s">
        <v>42</v>
      </c>
      <c r="G46" s="39" t="s">
        <v>42</v>
      </c>
      <c r="H46" s="39" t="s">
        <v>1357</v>
      </c>
      <c r="I46" s="38" t="s">
        <v>1289</v>
      </c>
      <c r="J46" s="38" t="s">
        <v>1289</v>
      </c>
      <c r="K46" s="39" t="s">
        <v>42</v>
      </c>
      <c r="L46" s="39" t="s">
        <v>42</v>
      </c>
      <c r="M46" s="39" t="s">
        <v>42</v>
      </c>
      <c r="N46" s="46" t="s">
        <v>1356</v>
      </c>
    </row>
    <row r="47" spans="1:14" s="39" customFormat="1" ht="14.5">
      <c r="A47" s="39" t="s">
        <v>137</v>
      </c>
      <c r="B47" s="39" t="s">
        <v>138</v>
      </c>
      <c r="C47" s="46">
        <v>7</v>
      </c>
      <c r="D47" s="39" t="s">
        <v>1300</v>
      </c>
      <c r="E47" s="39" t="s">
        <v>1301</v>
      </c>
      <c r="F47" s="39" t="s">
        <v>42</v>
      </c>
      <c r="G47" s="39" t="s">
        <v>42</v>
      </c>
      <c r="H47" s="39" t="s">
        <v>1357</v>
      </c>
      <c r="I47" s="38" t="s">
        <v>1289</v>
      </c>
      <c r="J47" s="38" t="s">
        <v>1289</v>
      </c>
      <c r="K47" s="39" t="s">
        <v>42</v>
      </c>
      <c r="L47" s="39" t="s">
        <v>42</v>
      </c>
      <c r="M47" s="39" t="s">
        <v>42</v>
      </c>
      <c r="N47" s="46" t="s">
        <v>1356</v>
      </c>
    </row>
    <row r="48" spans="1:14" s="39" customFormat="1" ht="14.5">
      <c r="A48" s="39" t="s">
        <v>137</v>
      </c>
      <c r="B48" s="39" t="s">
        <v>138</v>
      </c>
      <c r="C48" s="46">
        <v>8</v>
      </c>
      <c r="D48" s="39" t="s">
        <v>1300</v>
      </c>
      <c r="E48" s="39" t="s">
        <v>1301</v>
      </c>
      <c r="F48" s="39" t="s">
        <v>42</v>
      </c>
      <c r="G48" s="39" t="s">
        <v>42</v>
      </c>
      <c r="H48" s="39" t="s">
        <v>1357</v>
      </c>
      <c r="I48" s="38" t="s">
        <v>1289</v>
      </c>
      <c r="J48" s="38" t="s">
        <v>1289</v>
      </c>
      <c r="K48" s="39" t="s">
        <v>42</v>
      </c>
      <c r="L48" s="39" t="s">
        <v>42</v>
      </c>
      <c r="M48" s="39" t="s">
        <v>42</v>
      </c>
      <c r="N48" s="46" t="s">
        <v>1356</v>
      </c>
    </row>
    <row r="49" spans="1:14" s="39" customFormat="1" ht="14.5">
      <c r="A49" s="39" t="s">
        <v>137</v>
      </c>
      <c r="B49" s="39" t="s">
        <v>138</v>
      </c>
      <c r="C49" s="46">
        <v>9</v>
      </c>
      <c r="D49" s="39" t="s">
        <v>1360</v>
      </c>
      <c r="E49" s="39" t="s">
        <v>1301</v>
      </c>
      <c r="F49" s="39" t="s">
        <v>42</v>
      </c>
      <c r="G49" s="39" t="s">
        <v>42</v>
      </c>
      <c r="H49" s="39" t="s">
        <v>1361</v>
      </c>
      <c r="I49" s="38" t="s">
        <v>1289</v>
      </c>
      <c r="J49" s="38" t="s">
        <v>1289</v>
      </c>
      <c r="K49" s="39" t="s">
        <v>42</v>
      </c>
      <c r="L49" s="39" t="s">
        <v>42</v>
      </c>
      <c r="M49" s="39" t="s">
        <v>42</v>
      </c>
      <c r="N49" s="46" t="s">
        <v>1356</v>
      </c>
    </row>
    <row r="50" spans="1:14" s="39" customFormat="1" ht="14.5">
      <c r="A50" s="39" t="s">
        <v>137</v>
      </c>
      <c r="B50" s="39" t="s">
        <v>138</v>
      </c>
      <c r="C50" s="46">
        <v>10</v>
      </c>
      <c r="D50" s="39" t="s">
        <v>1360</v>
      </c>
      <c r="E50" s="39" t="s">
        <v>1301</v>
      </c>
      <c r="F50" s="39" t="s">
        <v>42</v>
      </c>
      <c r="G50" s="39" t="s">
        <v>42</v>
      </c>
      <c r="H50" s="39" t="s">
        <v>1361</v>
      </c>
      <c r="I50" s="38" t="s">
        <v>1289</v>
      </c>
      <c r="J50" s="38" t="s">
        <v>1289</v>
      </c>
      <c r="K50" s="39" t="s">
        <v>42</v>
      </c>
      <c r="L50" s="39" t="s">
        <v>42</v>
      </c>
      <c r="M50" s="39" t="s">
        <v>42</v>
      </c>
      <c r="N50" s="46" t="s">
        <v>1356</v>
      </c>
    </row>
    <row r="51" spans="1:14" s="39" customFormat="1" ht="14.5">
      <c r="A51" s="39" t="s">
        <v>137</v>
      </c>
      <c r="B51" s="39" t="s">
        <v>138</v>
      </c>
      <c r="C51" s="46">
        <v>11</v>
      </c>
      <c r="D51" s="39" t="s">
        <v>1360</v>
      </c>
      <c r="E51" s="39" t="s">
        <v>1301</v>
      </c>
      <c r="F51" s="39" t="s">
        <v>42</v>
      </c>
      <c r="G51" s="39" t="s">
        <v>42</v>
      </c>
      <c r="H51" s="39" t="s">
        <v>1361</v>
      </c>
      <c r="I51" s="38" t="s">
        <v>1289</v>
      </c>
      <c r="J51" s="38" t="s">
        <v>1289</v>
      </c>
      <c r="K51" s="39" t="s">
        <v>42</v>
      </c>
      <c r="L51" s="39" t="s">
        <v>42</v>
      </c>
      <c r="M51" s="39" t="s">
        <v>42</v>
      </c>
      <c r="N51" s="46" t="s">
        <v>1356</v>
      </c>
    </row>
    <row r="52" spans="1:14" s="37" customFormat="1" ht="14.5">
      <c r="A52" s="37" t="s">
        <v>137</v>
      </c>
      <c r="B52" s="37" t="s">
        <v>138</v>
      </c>
      <c r="C52" s="44">
        <v>12</v>
      </c>
      <c r="D52" s="37" t="s">
        <v>1360</v>
      </c>
      <c r="E52" s="37" t="s">
        <v>1301</v>
      </c>
      <c r="F52" s="37" t="s">
        <v>42</v>
      </c>
      <c r="G52" s="37" t="s">
        <v>42</v>
      </c>
      <c r="H52" s="37" t="s">
        <v>1361</v>
      </c>
      <c r="I52" s="36" t="s">
        <v>1289</v>
      </c>
      <c r="J52" s="36" t="s">
        <v>1289</v>
      </c>
      <c r="K52" s="37" t="s">
        <v>42</v>
      </c>
      <c r="L52" s="37" t="s">
        <v>42</v>
      </c>
      <c r="M52" s="37" t="s">
        <v>42</v>
      </c>
      <c r="N52" s="44" t="s">
        <v>1356</v>
      </c>
    </row>
    <row r="53" spans="1:14" s="39" customFormat="1" ht="14.5">
      <c r="A53" s="39" t="s">
        <v>145</v>
      </c>
      <c r="B53" s="39" t="s">
        <v>146</v>
      </c>
      <c r="C53" s="46">
        <v>1</v>
      </c>
      <c r="D53" s="39" t="s">
        <v>1362</v>
      </c>
      <c r="E53" s="39" t="s">
        <v>1288</v>
      </c>
      <c r="F53" s="39">
        <v>33</v>
      </c>
      <c r="G53" s="39" t="s">
        <v>1363</v>
      </c>
      <c r="H53" s="39" t="s">
        <v>1297</v>
      </c>
      <c r="N53" s="46"/>
    </row>
    <row r="54" spans="1:14" s="37" customFormat="1" ht="14.5">
      <c r="A54" s="37" t="s">
        <v>145</v>
      </c>
      <c r="B54" s="37" t="s">
        <v>146</v>
      </c>
      <c r="C54" s="44">
        <v>2</v>
      </c>
      <c r="D54" s="37" t="s">
        <v>1305</v>
      </c>
      <c r="E54" s="37" t="s">
        <v>1301</v>
      </c>
      <c r="F54" s="37">
        <v>22</v>
      </c>
      <c r="G54" s="37" t="s">
        <v>42</v>
      </c>
      <c r="H54" s="37" t="s">
        <v>1305</v>
      </c>
      <c r="M54" s="37" t="s">
        <v>1364</v>
      </c>
      <c r="N54" s="44"/>
    </row>
    <row r="55" spans="1:14" s="41" customFormat="1" ht="14.5">
      <c r="A55" s="41" t="s">
        <v>152</v>
      </c>
      <c r="B55" s="41" t="s">
        <v>153</v>
      </c>
      <c r="C55" s="51">
        <v>1</v>
      </c>
      <c r="D55" s="41" t="s">
        <v>1365</v>
      </c>
      <c r="E55" s="41" t="s">
        <v>1288</v>
      </c>
      <c r="F55" s="41">
        <v>20</v>
      </c>
      <c r="G55" s="41" t="s">
        <v>42</v>
      </c>
      <c r="H55" s="41" t="s">
        <v>1297</v>
      </c>
      <c r="I55" s="41" t="s">
        <v>1366</v>
      </c>
      <c r="J55" s="41" t="s">
        <v>1292</v>
      </c>
      <c r="K55" s="41" t="s">
        <v>1298</v>
      </c>
      <c r="L55" s="41" t="s">
        <v>42</v>
      </c>
      <c r="M55" s="41" t="s">
        <v>42</v>
      </c>
      <c r="N55" s="51" t="s">
        <v>1295</v>
      </c>
    </row>
    <row r="56" spans="1:14" s="39" customFormat="1" ht="14.5">
      <c r="A56" s="39" t="s">
        <v>177</v>
      </c>
      <c r="B56" s="39" t="s">
        <v>178</v>
      </c>
      <c r="C56" s="39">
        <v>1</v>
      </c>
      <c r="D56" s="39" t="s">
        <v>1365</v>
      </c>
      <c r="E56" s="39" t="s">
        <v>1288</v>
      </c>
      <c r="F56" s="39">
        <v>20</v>
      </c>
      <c r="G56" s="39" t="s">
        <v>42</v>
      </c>
      <c r="H56" s="39" t="s">
        <v>1297</v>
      </c>
      <c r="I56" s="39" t="s">
        <v>1366</v>
      </c>
      <c r="J56" s="39" t="s">
        <v>1292</v>
      </c>
      <c r="K56" s="39" t="s">
        <v>1298</v>
      </c>
      <c r="L56" s="39" t="s">
        <v>42</v>
      </c>
      <c r="M56" s="39" t="s">
        <v>1367</v>
      </c>
      <c r="N56" s="39" t="s">
        <v>1295</v>
      </c>
    </row>
    <row r="57" spans="1:14" s="37" customFormat="1" ht="14.5">
      <c r="A57" s="37" t="s">
        <v>177</v>
      </c>
      <c r="B57" s="37" t="s">
        <v>178</v>
      </c>
      <c r="C57" s="37">
        <v>2</v>
      </c>
      <c r="D57" s="37" t="s">
        <v>1368</v>
      </c>
      <c r="E57" s="37" t="s">
        <v>1369</v>
      </c>
      <c r="F57" s="37" t="s">
        <v>42</v>
      </c>
      <c r="G57" s="37" t="s">
        <v>42</v>
      </c>
      <c r="H57" s="37" t="s">
        <v>1368</v>
      </c>
      <c r="I57" s="37" t="s">
        <v>1370</v>
      </c>
      <c r="J57" s="37" t="s">
        <v>1371</v>
      </c>
      <c r="K57" s="37" t="s">
        <v>1372</v>
      </c>
      <c r="L57" s="37" t="s">
        <v>42</v>
      </c>
      <c r="M57" s="37" t="s">
        <v>519</v>
      </c>
      <c r="N57" s="44" t="s">
        <v>1295</v>
      </c>
    </row>
    <row r="58" spans="1:14" s="41" customFormat="1" ht="14.5">
      <c r="A58" s="41" t="s">
        <v>182</v>
      </c>
      <c r="B58" s="41" t="s">
        <v>183</v>
      </c>
      <c r="C58" s="51">
        <v>1</v>
      </c>
      <c r="D58" s="41" t="s">
        <v>1373</v>
      </c>
      <c r="E58" s="41" t="s">
        <v>1288</v>
      </c>
      <c r="F58" s="41">
        <v>1</v>
      </c>
      <c r="G58" s="41" t="s">
        <v>1374</v>
      </c>
      <c r="H58" s="41" t="s">
        <v>1375</v>
      </c>
      <c r="I58" s="41" t="s">
        <v>42</v>
      </c>
      <c r="J58" s="41" t="s">
        <v>42</v>
      </c>
      <c r="K58" s="41" t="s">
        <v>1298</v>
      </c>
      <c r="L58" s="41" t="s">
        <v>42</v>
      </c>
      <c r="M58" s="41" t="s">
        <v>1376</v>
      </c>
      <c r="N58" s="51" t="s">
        <v>1347</v>
      </c>
    </row>
    <row r="59" spans="1:14" s="39" customFormat="1" ht="14.5">
      <c r="A59" s="39" t="s">
        <v>205</v>
      </c>
      <c r="B59" s="39" t="s">
        <v>206</v>
      </c>
      <c r="C59" s="46">
        <v>1</v>
      </c>
      <c r="D59" s="39" t="s">
        <v>1377</v>
      </c>
      <c r="E59" s="39" t="s">
        <v>1288</v>
      </c>
      <c r="F59" s="39">
        <v>26</v>
      </c>
      <c r="G59" s="39" t="s">
        <v>1378</v>
      </c>
      <c r="H59" s="39" t="s">
        <v>1297</v>
      </c>
      <c r="I59" s="39" t="s">
        <v>42</v>
      </c>
      <c r="J59" s="39" t="s">
        <v>42</v>
      </c>
      <c r="K59" s="39" t="s">
        <v>1298</v>
      </c>
      <c r="L59" s="39" t="s">
        <v>1379</v>
      </c>
      <c r="M59" s="39" t="s">
        <v>1304</v>
      </c>
      <c r="N59" s="46" t="s">
        <v>42</v>
      </c>
    </row>
    <row r="60" spans="1:14" s="39" customFormat="1" ht="14.5">
      <c r="A60" s="39" t="s">
        <v>205</v>
      </c>
      <c r="B60" s="39" t="s">
        <v>206</v>
      </c>
      <c r="C60" s="46">
        <v>2</v>
      </c>
      <c r="D60" s="39" t="s">
        <v>1380</v>
      </c>
      <c r="E60" s="39" t="s">
        <v>1381</v>
      </c>
      <c r="F60" s="39">
        <v>17</v>
      </c>
      <c r="G60" s="39" t="s">
        <v>1382</v>
      </c>
      <c r="H60" s="39" t="s">
        <v>1380</v>
      </c>
      <c r="I60" s="39" t="s">
        <v>42</v>
      </c>
      <c r="J60" s="39" t="s">
        <v>42</v>
      </c>
      <c r="K60" s="39" t="s">
        <v>1383</v>
      </c>
      <c r="L60" s="39" t="s">
        <v>42</v>
      </c>
      <c r="M60" s="39" t="s">
        <v>1304</v>
      </c>
      <c r="N60" s="46" t="s">
        <v>42</v>
      </c>
    </row>
    <row r="61" spans="1:14" s="40" customFormat="1" ht="14.5">
      <c r="A61" s="40" t="s">
        <v>205</v>
      </c>
      <c r="B61" s="40" t="s">
        <v>206</v>
      </c>
      <c r="C61" s="47">
        <v>3</v>
      </c>
      <c r="D61" s="40" t="s">
        <v>1384</v>
      </c>
      <c r="E61" s="40" t="s">
        <v>1381</v>
      </c>
      <c r="F61" s="40">
        <v>11</v>
      </c>
      <c r="G61" s="40" t="s">
        <v>1385</v>
      </c>
      <c r="H61" s="40" t="s">
        <v>1384</v>
      </c>
      <c r="I61" s="40" t="s">
        <v>42</v>
      </c>
      <c r="J61" s="40" t="s">
        <v>42</v>
      </c>
      <c r="K61" s="40" t="s">
        <v>1383</v>
      </c>
      <c r="L61" s="40" t="s">
        <v>42</v>
      </c>
      <c r="M61" s="40" t="s">
        <v>1304</v>
      </c>
      <c r="N61" s="47" t="s">
        <v>42</v>
      </c>
    </row>
    <row r="62" spans="1:14" s="39" customFormat="1" ht="14.5">
      <c r="A62" s="39" t="s">
        <v>227</v>
      </c>
      <c r="B62" s="39" t="s">
        <v>228</v>
      </c>
      <c r="C62" s="46">
        <v>1</v>
      </c>
      <c r="D62" s="39" t="s">
        <v>1327</v>
      </c>
      <c r="E62" s="39" t="s">
        <v>1381</v>
      </c>
      <c r="F62" s="39" t="s">
        <v>42</v>
      </c>
      <c r="G62" s="39" t="s">
        <v>42</v>
      </c>
      <c r="H62" s="39" t="s">
        <v>1327</v>
      </c>
      <c r="I62" s="39" t="s">
        <v>1386</v>
      </c>
      <c r="J62" s="39" t="s">
        <v>1387</v>
      </c>
      <c r="K62" s="39" t="s">
        <v>42</v>
      </c>
      <c r="L62" s="39" t="s">
        <v>42</v>
      </c>
      <c r="M62" s="39" t="s">
        <v>1388</v>
      </c>
      <c r="N62" s="46" t="s">
        <v>1389</v>
      </c>
    </row>
    <row r="63" spans="1:14" s="40" customFormat="1" ht="14.5">
      <c r="A63" s="40" t="s">
        <v>227</v>
      </c>
      <c r="B63" s="40" t="s">
        <v>228</v>
      </c>
      <c r="C63" s="47">
        <v>2</v>
      </c>
      <c r="D63" s="40" t="s">
        <v>1324</v>
      </c>
      <c r="E63" s="40" t="s">
        <v>1381</v>
      </c>
      <c r="F63" s="40" t="s">
        <v>42</v>
      </c>
      <c r="G63" s="40" t="s">
        <v>42</v>
      </c>
      <c r="H63" s="40" t="s">
        <v>1324</v>
      </c>
      <c r="I63" s="40" t="s">
        <v>1390</v>
      </c>
      <c r="J63" s="40" t="s">
        <v>1391</v>
      </c>
      <c r="K63" s="40" t="s">
        <v>42</v>
      </c>
      <c r="L63" s="40" t="s">
        <v>42</v>
      </c>
      <c r="M63" s="40" t="s">
        <v>1388</v>
      </c>
      <c r="N63" s="47" t="s">
        <v>1389</v>
      </c>
    </row>
    <row r="64" spans="1:14" s="39" customFormat="1" ht="14.5">
      <c r="A64" s="39" t="s">
        <v>238</v>
      </c>
      <c r="B64" s="39" t="s">
        <v>239</v>
      </c>
      <c r="C64" s="46">
        <v>1</v>
      </c>
      <c r="D64" s="39" t="s">
        <v>1333</v>
      </c>
      <c r="E64" s="39" t="s">
        <v>1381</v>
      </c>
      <c r="F64" s="39">
        <v>16</v>
      </c>
      <c r="G64" s="39" t="s">
        <v>1392</v>
      </c>
      <c r="H64" s="39" t="s">
        <v>1333</v>
      </c>
      <c r="I64" s="39" t="s">
        <v>1393</v>
      </c>
      <c r="J64" s="39" t="s">
        <v>1394</v>
      </c>
      <c r="K64" s="39" t="s">
        <v>42</v>
      </c>
      <c r="L64" s="39" t="s">
        <v>42</v>
      </c>
      <c r="M64" s="39" t="s">
        <v>519</v>
      </c>
      <c r="N64" s="46" t="s">
        <v>1389</v>
      </c>
    </row>
    <row r="65" spans="1:14" s="39" customFormat="1" ht="14.5">
      <c r="A65" s="39" t="s">
        <v>238</v>
      </c>
      <c r="B65" s="39" t="s">
        <v>239</v>
      </c>
      <c r="C65" s="46">
        <v>2</v>
      </c>
      <c r="D65" s="39" t="s">
        <v>1305</v>
      </c>
      <c r="E65" s="39" t="s">
        <v>1381</v>
      </c>
      <c r="F65" s="39">
        <v>16</v>
      </c>
      <c r="G65" s="39" t="s">
        <v>1395</v>
      </c>
      <c r="H65" s="39" t="s">
        <v>1305</v>
      </c>
      <c r="I65" s="39" t="s">
        <v>1396</v>
      </c>
      <c r="J65" s="48" t="s">
        <v>1397</v>
      </c>
      <c r="K65" s="39" t="s">
        <v>42</v>
      </c>
      <c r="L65" s="39" t="s">
        <v>42</v>
      </c>
      <c r="M65" s="39" t="s">
        <v>519</v>
      </c>
      <c r="N65" s="46" t="s">
        <v>1389</v>
      </c>
    </row>
    <row r="66" spans="1:14" s="40" customFormat="1" ht="14.5">
      <c r="A66" s="40" t="s">
        <v>238</v>
      </c>
      <c r="B66" s="40" t="s">
        <v>239</v>
      </c>
      <c r="C66" s="47">
        <v>3</v>
      </c>
      <c r="D66" s="40" t="s">
        <v>1297</v>
      </c>
      <c r="E66" s="40" t="s">
        <v>1381</v>
      </c>
      <c r="F66" s="40">
        <v>16</v>
      </c>
      <c r="G66" s="40" t="s">
        <v>1398</v>
      </c>
      <c r="H66" s="40" t="s">
        <v>1297</v>
      </c>
      <c r="I66" s="40" t="s">
        <v>1399</v>
      </c>
      <c r="J66" s="40" t="s">
        <v>1400</v>
      </c>
      <c r="K66" s="40" t="s">
        <v>42</v>
      </c>
      <c r="L66" s="40" t="s">
        <v>42</v>
      </c>
      <c r="M66" s="40" t="s">
        <v>519</v>
      </c>
      <c r="N66" s="47" t="s">
        <v>1389</v>
      </c>
    </row>
    <row r="67" spans="1:14" s="40" customFormat="1" ht="14.5">
      <c r="A67" s="40" t="s">
        <v>249</v>
      </c>
      <c r="B67" s="40" t="s">
        <v>250</v>
      </c>
      <c r="C67" s="47">
        <v>1</v>
      </c>
      <c r="D67" s="40" t="s">
        <v>1401</v>
      </c>
      <c r="E67" s="40" t="s">
        <v>1402</v>
      </c>
      <c r="F67" s="40" t="s">
        <v>42</v>
      </c>
      <c r="G67" s="40" t="s">
        <v>42</v>
      </c>
      <c r="H67" s="40" t="s">
        <v>1403</v>
      </c>
      <c r="I67" s="40" t="s">
        <v>1404</v>
      </c>
      <c r="J67" s="40" t="s">
        <v>1405</v>
      </c>
      <c r="K67" s="40" t="s">
        <v>42</v>
      </c>
      <c r="L67" s="40" t="s">
        <v>42</v>
      </c>
      <c r="M67" s="40" t="s">
        <v>1376</v>
      </c>
      <c r="N67" s="47" t="s">
        <v>42</v>
      </c>
    </row>
    <row r="68" spans="1:14" s="40" customFormat="1" ht="14.5">
      <c r="A68" s="40" t="s">
        <v>261</v>
      </c>
      <c r="B68" s="40" t="s">
        <v>262</v>
      </c>
      <c r="C68" s="47">
        <v>1</v>
      </c>
      <c r="D68" s="40" t="s">
        <v>1406</v>
      </c>
      <c r="E68" s="40" t="s">
        <v>1381</v>
      </c>
      <c r="F68" s="40" t="s">
        <v>42</v>
      </c>
      <c r="G68" s="40" t="s">
        <v>42</v>
      </c>
      <c r="H68" s="40" t="s">
        <v>1333</v>
      </c>
      <c r="I68" s="40" t="s">
        <v>1407</v>
      </c>
      <c r="J68" s="50" t="s">
        <v>1408</v>
      </c>
      <c r="K68" s="40" t="s">
        <v>42</v>
      </c>
      <c r="L68" s="40" t="s">
        <v>42</v>
      </c>
      <c r="M68" s="40" t="s">
        <v>42</v>
      </c>
      <c r="N68" s="47" t="s">
        <v>1389</v>
      </c>
    </row>
    <row r="69" spans="1:14" s="40" customFormat="1" ht="14.5">
      <c r="A69" s="40" t="s">
        <v>273</v>
      </c>
      <c r="B69" s="40" t="s">
        <v>274</v>
      </c>
      <c r="C69" s="47">
        <v>1</v>
      </c>
      <c r="D69" s="40" t="s">
        <v>1401</v>
      </c>
      <c r="E69" s="40" t="s">
        <v>1402</v>
      </c>
      <c r="F69" s="40">
        <v>16</v>
      </c>
      <c r="G69" s="40" t="s">
        <v>1409</v>
      </c>
      <c r="H69" s="40" t="s">
        <v>1403</v>
      </c>
      <c r="I69" s="40" t="s">
        <v>1404</v>
      </c>
      <c r="J69" s="40" t="s">
        <v>1405</v>
      </c>
      <c r="K69" s="40" t="s">
        <v>42</v>
      </c>
      <c r="L69" s="40" t="s">
        <v>42</v>
      </c>
      <c r="M69" s="40" t="s">
        <v>1376</v>
      </c>
      <c r="N69" s="47" t="s">
        <v>42</v>
      </c>
    </row>
    <row r="70" spans="1:14" s="40" customFormat="1" ht="14.5">
      <c r="A70" s="40" t="s">
        <v>284</v>
      </c>
      <c r="B70" s="40" t="s">
        <v>285</v>
      </c>
      <c r="C70" s="47">
        <v>1</v>
      </c>
      <c r="D70" s="40" t="s">
        <v>1410</v>
      </c>
      <c r="E70" s="40" t="s">
        <v>1402</v>
      </c>
      <c r="F70" s="40">
        <v>12</v>
      </c>
      <c r="G70" s="40" t="s">
        <v>42</v>
      </c>
      <c r="H70" s="40" t="s">
        <v>1411</v>
      </c>
      <c r="I70" s="40" t="s">
        <v>1412</v>
      </c>
      <c r="J70" s="50" t="s">
        <v>1413</v>
      </c>
      <c r="K70" s="40" t="s">
        <v>42</v>
      </c>
      <c r="L70" s="40" t="s">
        <v>42</v>
      </c>
      <c r="M70" s="40" t="s">
        <v>1414</v>
      </c>
      <c r="N70" s="47" t="s">
        <v>1389</v>
      </c>
    </row>
    <row r="71" spans="1:14" s="39" customFormat="1" ht="29">
      <c r="A71" s="39" t="s">
        <v>289</v>
      </c>
      <c r="B71" s="39" t="s">
        <v>290</v>
      </c>
      <c r="C71" s="46">
        <v>1</v>
      </c>
      <c r="D71" s="39" t="s">
        <v>1331</v>
      </c>
      <c r="E71" s="39" t="s">
        <v>1301</v>
      </c>
      <c r="F71" s="39" t="s">
        <v>42</v>
      </c>
      <c r="G71" s="39" t="s">
        <v>42</v>
      </c>
      <c r="H71" s="39" t="s">
        <v>1331</v>
      </c>
      <c r="I71" s="38" t="s">
        <v>1415</v>
      </c>
      <c r="J71" s="39" t="s">
        <v>42</v>
      </c>
      <c r="K71" s="39" t="s">
        <v>42</v>
      </c>
      <c r="L71" s="39" t="s">
        <v>42</v>
      </c>
      <c r="M71" s="39" t="s">
        <v>42</v>
      </c>
      <c r="N71" s="46" t="s">
        <v>1356</v>
      </c>
    </row>
    <row r="72" spans="1:14" s="39" customFormat="1" ht="29">
      <c r="A72" s="39" t="s">
        <v>289</v>
      </c>
      <c r="B72" s="39" t="s">
        <v>290</v>
      </c>
      <c r="C72" s="46">
        <v>2</v>
      </c>
      <c r="D72" s="39" t="s">
        <v>1332</v>
      </c>
      <c r="E72" s="39" t="s">
        <v>1301</v>
      </c>
      <c r="F72" s="39" t="s">
        <v>42</v>
      </c>
      <c r="G72" s="39" t="s">
        <v>42</v>
      </c>
      <c r="H72" s="39" t="s">
        <v>1332</v>
      </c>
      <c r="I72" s="38" t="s">
        <v>1415</v>
      </c>
      <c r="J72" s="39" t="s">
        <v>42</v>
      </c>
      <c r="K72" s="39" t="s">
        <v>42</v>
      </c>
      <c r="L72" s="39" t="s">
        <v>42</v>
      </c>
      <c r="M72" s="39" t="s">
        <v>42</v>
      </c>
      <c r="N72" s="46" t="s">
        <v>1356</v>
      </c>
    </row>
    <row r="73" spans="1:14" s="39" customFormat="1" ht="29">
      <c r="A73" s="39" t="s">
        <v>289</v>
      </c>
      <c r="B73" s="39" t="s">
        <v>290</v>
      </c>
      <c r="C73" s="46">
        <v>3</v>
      </c>
      <c r="D73" s="39" t="s">
        <v>1333</v>
      </c>
      <c r="E73" s="39" t="s">
        <v>1301</v>
      </c>
      <c r="F73" s="39" t="s">
        <v>42</v>
      </c>
      <c r="G73" s="39" t="s">
        <v>42</v>
      </c>
      <c r="H73" s="39" t="s">
        <v>1333</v>
      </c>
      <c r="I73" s="38" t="s">
        <v>1415</v>
      </c>
      <c r="J73" s="39" t="s">
        <v>42</v>
      </c>
      <c r="K73" s="39" t="s">
        <v>42</v>
      </c>
      <c r="L73" s="39" t="s">
        <v>42</v>
      </c>
      <c r="M73" s="39" t="s">
        <v>42</v>
      </c>
      <c r="N73" s="46" t="s">
        <v>1356</v>
      </c>
    </row>
    <row r="74" spans="1:14" s="40" customFormat="1" ht="29">
      <c r="A74" s="40" t="s">
        <v>289</v>
      </c>
      <c r="B74" s="40" t="s">
        <v>290</v>
      </c>
      <c r="C74" s="47">
        <v>4</v>
      </c>
      <c r="D74" s="40" t="s">
        <v>1305</v>
      </c>
      <c r="E74" s="40" t="s">
        <v>1301</v>
      </c>
      <c r="F74" s="40" t="s">
        <v>42</v>
      </c>
      <c r="G74" s="40" t="s">
        <v>42</v>
      </c>
      <c r="H74" s="40" t="s">
        <v>1305</v>
      </c>
      <c r="I74" s="42" t="s">
        <v>1415</v>
      </c>
      <c r="J74" s="40" t="s">
        <v>42</v>
      </c>
      <c r="K74" s="40" t="s">
        <v>42</v>
      </c>
      <c r="L74" s="40" t="s">
        <v>42</v>
      </c>
      <c r="M74" s="40" t="s">
        <v>42</v>
      </c>
      <c r="N74" s="47" t="s">
        <v>1356</v>
      </c>
    </row>
    <row r="75" spans="1:14" s="39" customFormat="1" ht="29">
      <c r="A75" s="39" t="s">
        <v>299</v>
      </c>
      <c r="B75" s="39" t="s">
        <v>300</v>
      </c>
      <c r="C75" s="46">
        <v>1</v>
      </c>
      <c r="D75" s="39" t="s">
        <v>1416</v>
      </c>
      <c r="E75" s="39" t="s">
        <v>1301</v>
      </c>
      <c r="F75" s="39" t="s">
        <v>42</v>
      </c>
      <c r="G75" s="39" t="s">
        <v>42</v>
      </c>
      <c r="H75" s="39" t="s">
        <v>1417</v>
      </c>
      <c r="I75" s="38" t="s">
        <v>1418</v>
      </c>
      <c r="J75" s="39" t="s">
        <v>42</v>
      </c>
      <c r="K75" s="39" t="s">
        <v>1419</v>
      </c>
      <c r="L75" s="39" t="s">
        <v>42</v>
      </c>
      <c r="M75" s="39" t="s">
        <v>519</v>
      </c>
      <c r="N75" s="46" t="s">
        <v>1356</v>
      </c>
    </row>
    <row r="76" spans="1:14" s="39" customFormat="1" ht="29">
      <c r="A76" s="39" t="s">
        <v>299</v>
      </c>
      <c r="B76" s="39" t="s">
        <v>300</v>
      </c>
      <c r="C76" s="46">
        <v>2</v>
      </c>
      <c r="D76" s="39" t="s">
        <v>1420</v>
      </c>
      <c r="E76" s="39" t="s">
        <v>1301</v>
      </c>
      <c r="F76" s="39" t="s">
        <v>42</v>
      </c>
      <c r="G76" s="39" t="s">
        <v>42</v>
      </c>
      <c r="H76" s="39" t="s">
        <v>1417</v>
      </c>
      <c r="I76" s="38" t="s">
        <v>1418</v>
      </c>
      <c r="J76" s="39" t="s">
        <v>42</v>
      </c>
      <c r="K76" s="39" t="s">
        <v>1419</v>
      </c>
      <c r="L76" s="39" t="s">
        <v>42</v>
      </c>
      <c r="M76" s="39" t="s">
        <v>519</v>
      </c>
      <c r="N76" s="46" t="s">
        <v>1356</v>
      </c>
    </row>
    <row r="77" spans="1:14" ht="29">
      <c r="A77" s="39" t="s">
        <v>299</v>
      </c>
      <c r="B77" s="39" t="s">
        <v>300</v>
      </c>
      <c r="C77" s="46">
        <v>3</v>
      </c>
      <c r="D77" s="39" t="s">
        <v>1421</v>
      </c>
      <c r="E77" s="39" t="s">
        <v>1301</v>
      </c>
      <c r="F77" s="39" t="s">
        <v>42</v>
      </c>
      <c r="G77" s="39" t="s">
        <v>42</v>
      </c>
      <c r="H77" s="39" t="s">
        <v>1417</v>
      </c>
      <c r="I77" s="38" t="s">
        <v>1418</v>
      </c>
      <c r="J77" s="39" t="s">
        <v>42</v>
      </c>
      <c r="K77" s="39" t="s">
        <v>1419</v>
      </c>
      <c r="L77" s="39" t="s">
        <v>42</v>
      </c>
      <c r="M77" s="39" t="s">
        <v>519</v>
      </c>
      <c r="N77" s="46" t="s">
        <v>1356</v>
      </c>
    </row>
    <row r="78" spans="1:14" ht="29">
      <c r="A78" s="39" t="s">
        <v>299</v>
      </c>
      <c r="B78" s="39" t="s">
        <v>300</v>
      </c>
      <c r="C78" s="46">
        <v>4</v>
      </c>
      <c r="D78" s="39" t="s">
        <v>1422</v>
      </c>
      <c r="E78" s="39" t="s">
        <v>1301</v>
      </c>
      <c r="F78" s="39" t="s">
        <v>42</v>
      </c>
      <c r="G78" s="39" t="s">
        <v>42</v>
      </c>
      <c r="H78" s="39" t="s">
        <v>1423</v>
      </c>
      <c r="I78" s="38" t="s">
        <v>1418</v>
      </c>
      <c r="J78" s="39" t="s">
        <v>42</v>
      </c>
      <c r="K78" s="39" t="s">
        <v>1419</v>
      </c>
      <c r="L78" s="39" t="s">
        <v>42</v>
      </c>
      <c r="M78" s="39" t="s">
        <v>519</v>
      </c>
      <c r="N78" s="46" t="s">
        <v>1356</v>
      </c>
    </row>
    <row r="79" spans="1:14" ht="29">
      <c r="A79" s="39" t="s">
        <v>299</v>
      </c>
      <c r="B79" s="39" t="s">
        <v>300</v>
      </c>
      <c r="C79" s="46">
        <v>5</v>
      </c>
      <c r="D79" s="39" t="s">
        <v>1424</v>
      </c>
      <c r="E79" s="39" t="s">
        <v>1301</v>
      </c>
      <c r="F79" s="39" t="s">
        <v>42</v>
      </c>
      <c r="G79" s="39" t="s">
        <v>42</v>
      </c>
      <c r="H79" s="39" t="s">
        <v>1423</v>
      </c>
      <c r="I79" s="38" t="s">
        <v>1418</v>
      </c>
      <c r="J79" s="39" t="s">
        <v>42</v>
      </c>
      <c r="K79" s="39" t="s">
        <v>1419</v>
      </c>
      <c r="L79" s="39" t="s">
        <v>42</v>
      </c>
      <c r="M79" s="39" t="s">
        <v>519</v>
      </c>
      <c r="N79" s="46" t="s">
        <v>1356</v>
      </c>
    </row>
    <row r="80" spans="1:14" ht="29">
      <c r="A80" s="39" t="s">
        <v>299</v>
      </c>
      <c r="B80" s="39" t="s">
        <v>300</v>
      </c>
      <c r="C80" s="46">
        <v>6</v>
      </c>
      <c r="D80" s="39" t="s">
        <v>1425</v>
      </c>
      <c r="E80" s="39" t="s">
        <v>1301</v>
      </c>
      <c r="F80" s="39" t="s">
        <v>42</v>
      </c>
      <c r="G80" s="39" t="s">
        <v>42</v>
      </c>
      <c r="H80" s="39" t="s">
        <v>1425</v>
      </c>
      <c r="I80" s="38" t="s">
        <v>1418</v>
      </c>
      <c r="J80" s="39" t="s">
        <v>42</v>
      </c>
      <c r="K80" s="39" t="s">
        <v>1419</v>
      </c>
      <c r="L80" s="39" t="s">
        <v>42</v>
      </c>
      <c r="M80" s="39" t="s">
        <v>519</v>
      </c>
      <c r="N80" s="46" t="s">
        <v>1356</v>
      </c>
    </row>
    <row r="81" spans="1:14" ht="29">
      <c r="A81" s="39" t="s">
        <v>299</v>
      </c>
      <c r="B81" s="39" t="s">
        <v>300</v>
      </c>
      <c r="C81" s="46">
        <v>7</v>
      </c>
      <c r="D81" s="39" t="s">
        <v>1426</v>
      </c>
      <c r="E81" s="39" t="s">
        <v>1301</v>
      </c>
      <c r="F81" s="39" t="s">
        <v>42</v>
      </c>
      <c r="G81" s="39" t="s">
        <v>42</v>
      </c>
      <c r="H81" s="39" t="s">
        <v>1426</v>
      </c>
      <c r="I81" s="38" t="s">
        <v>1418</v>
      </c>
      <c r="J81" s="39" t="s">
        <v>42</v>
      </c>
      <c r="K81" s="39" t="s">
        <v>1419</v>
      </c>
      <c r="L81" s="39" t="s">
        <v>42</v>
      </c>
      <c r="M81" s="39" t="s">
        <v>519</v>
      </c>
      <c r="N81" s="46" t="s">
        <v>1356</v>
      </c>
    </row>
    <row r="82" spans="1:14" ht="29">
      <c r="A82" s="39" t="s">
        <v>299</v>
      </c>
      <c r="B82" s="39" t="s">
        <v>300</v>
      </c>
      <c r="C82" s="46">
        <v>8</v>
      </c>
      <c r="D82" s="39" t="s">
        <v>1427</v>
      </c>
      <c r="E82" s="39" t="s">
        <v>1301</v>
      </c>
      <c r="F82" s="39" t="s">
        <v>42</v>
      </c>
      <c r="G82" s="39" t="s">
        <v>42</v>
      </c>
      <c r="H82" s="39" t="s">
        <v>1426</v>
      </c>
      <c r="I82" s="38" t="s">
        <v>1418</v>
      </c>
      <c r="J82" s="39" t="s">
        <v>42</v>
      </c>
      <c r="K82" s="39" t="s">
        <v>1419</v>
      </c>
      <c r="L82" s="39" t="s">
        <v>42</v>
      </c>
      <c r="M82" s="39" t="s">
        <v>519</v>
      </c>
      <c r="N82" s="46" t="s">
        <v>1356</v>
      </c>
    </row>
    <row r="83" spans="1:14" ht="29">
      <c r="A83" s="39" t="s">
        <v>299</v>
      </c>
      <c r="B83" s="39" t="s">
        <v>300</v>
      </c>
      <c r="C83" s="46">
        <v>9</v>
      </c>
      <c r="D83" s="39" t="s">
        <v>1428</v>
      </c>
      <c r="E83" s="39" t="s">
        <v>1301</v>
      </c>
      <c r="F83" s="39" t="s">
        <v>42</v>
      </c>
      <c r="G83" s="39" t="s">
        <v>42</v>
      </c>
      <c r="H83" s="39" t="s">
        <v>1426</v>
      </c>
      <c r="I83" s="38" t="s">
        <v>1418</v>
      </c>
      <c r="J83" s="39" t="s">
        <v>42</v>
      </c>
      <c r="K83" s="39" t="s">
        <v>1419</v>
      </c>
      <c r="L83" s="39" t="s">
        <v>42</v>
      </c>
      <c r="M83" s="39" t="s">
        <v>519</v>
      </c>
      <c r="N83" s="46" t="s">
        <v>1356</v>
      </c>
    </row>
    <row r="84" spans="1:14" ht="29">
      <c r="A84" s="39" t="s">
        <v>299</v>
      </c>
      <c r="B84" s="39" t="s">
        <v>300</v>
      </c>
      <c r="C84" s="46">
        <v>10</v>
      </c>
      <c r="D84" s="39" t="s">
        <v>1429</v>
      </c>
      <c r="E84" s="39" t="s">
        <v>1301</v>
      </c>
      <c r="F84" s="39" t="s">
        <v>42</v>
      </c>
      <c r="G84" s="39" t="s">
        <v>42</v>
      </c>
      <c r="H84" s="39" t="s">
        <v>1430</v>
      </c>
      <c r="I84" s="38" t="s">
        <v>1418</v>
      </c>
      <c r="J84" s="39" t="s">
        <v>42</v>
      </c>
      <c r="K84" s="39" t="s">
        <v>1419</v>
      </c>
      <c r="L84" s="39" t="s">
        <v>42</v>
      </c>
      <c r="M84" s="39" t="s">
        <v>519</v>
      </c>
      <c r="N84" s="46" t="s">
        <v>1356</v>
      </c>
    </row>
    <row r="85" spans="1:14" ht="29">
      <c r="A85" s="39" t="s">
        <v>299</v>
      </c>
      <c r="B85" s="39" t="s">
        <v>300</v>
      </c>
      <c r="C85" s="46">
        <v>11</v>
      </c>
      <c r="D85" s="39" t="s">
        <v>1431</v>
      </c>
      <c r="E85" s="39" t="s">
        <v>1301</v>
      </c>
      <c r="F85" s="39" t="s">
        <v>42</v>
      </c>
      <c r="G85" s="39" t="s">
        <v>42</v>
      </c>
      <c r="H85" s="39" t="s">
        <v>1430</v>
      </c>
      <c r="I85" s="38" t="s">
        <v>1418</v>
      </c>
      <c r="J85" s="39" t="s">
        <v>42</v>
      </c>
      <c r="K85" s="39" t="s">
        <v>1419</v>
      </c>
      <c r="L85" s="39" t="s">
        <v>42</v>
      </c>
      <c r="M85" s="39" t="s">
        <v>519</v>
      </c>
      <c r="N85" s="46" t="s">
        <v>1356</v>
      </c>
    </row>
    <row r="86" spans="1:14" ht="29">
      <c r="A86" s="39" t="s">
        <v>299</v>
      </c>
      <c r="B86" s="39" t="s">
        <v>300</v>
      </c>
      <c r="C86" s="46">
        <v>12</v>
      </c>
      <c r="D86" s="39" t="s">
        <v>1432</v>
      </c>
      <c r="E86" s="39" t="s">
        <v>1301</v>
      </c>
      <c r="F86" s="39" t="s">
        <v>42</v>
      </c>
      <c r="G86" s="39" t="s">
        <v>42</v>
      </c>
      <c r="H86" s="39" t="s">
        <v>1433</v>
      </c>
      <c r="I86" s="38" t="s">
        <v>1418</v>
      </c>
      <c r="J86" s="39" t="s">
        <v>42</v>
      </c>
      <c r="K86" s="39" t="s">
        <v>1419</v>
      </c>
      <c r="L86" s="39" t="s">
        <v>42</v>
      </c>
      <c r="M86" s="39" t="s">
        <v>519</v>
      </c>
      <c r="N86" s="46" t="s">
        <v>1356</v>
      </c>
    </row>
    <row r="87" spans="1:14" ht="29">
      <c r="A87" s="39" t="s">
        <v>299</v>
      </c>
      <c r="B87" s="39" t="s">
        <v>300</v>
      </c>
      <c r="C87" s="46">
        <v>13</v>
      </c>
      <c r="D87" s="39" t="s">
        <v>1434</v>
      </c>
      <c r="E87" s="39" t="s">
        <v>1301</v>
      </c>
      <c r="F87" s="39" t="s">
        <v>42</v>
      </c>
      <c r="G87" s="39" t="s">
        <v>42</v>
      </c>
      <c r="H87" s="39" t="s">
        <v>1434</v>
      </c>
      <c r="I87" s="38" t="s">
        <v>1418</v>
      </c>
      <c r="J87" s="39" t="s">
        <v>42</v>
      </c>
      <c r="K87" s="39" t="s">
        <v>1419</v>
      </c>
      <c r="L87" s="39" t="s">
        <v>42</v>
      </c>
      <c r="M87" s="39" t="s">
        <v>519</v>
      </c>
      <c r="N87" s="46" t="s">
        <v>1356</v>
      </c>
    </row>
    <row r="88" spans="1:14" ht="29">
      <c r="A88" s="39" t="s">
        <v>299</v>
      </c>
      <c r="B88" s="39" t="s">
        <v>300</v>
      </c>
      <c r="C88" s="46">
        <v>14</v>
      </c>
      <c r="D88" s="39" t="s">
        <v>1435</v>
      </c>
      <c r="E88" s="39" t="s">
        <v>1301</v>
      </c>
      <c r="F88" s="39" t="s">
        <v>42</v>
      </c>
      <c r="G88" s="39" t="s">
        <v>42</v>
      </c>
      <c r="H88" s="39" t="s">
        <v>1436</v>
      </c>
      <c r="I88" s="38" t="s">
        <v>1418</v>
      </c>
      <c r="J88" s="39" t="s">
        <v>42</v>
      </c>
      <c r="K88" s="39" t="s">
        <v>1419</v>
      </c>
      <c r="L88" s="39" t="s">
        <v>42</v>
      </c>
      <c r="M88" s="39" t="s">
        <v>519</v>
      </c>
      <c r="N88" s="46" t="s">
        <v>1356</v>
      </c>
    </row>
    <row r="89" spans="1:14" ht="29">
      <c r="A89" s="39" t="s">
        <v>299</v>
      </c>
      <c r="B89" s="39" t="s">
        <v>300</v>
      </c>
      <c r="C89" s="46">
        <v>15</v>
      </c>
      <c r="D89" s="39" t="s">
        <v>1436</v>
      </c>
      <c r="E89" s="39" t="s">
        <v>1301</v>
      </c>
      <c r="F89" s="39" t="s">
        <v>42</v>
      </c>
      <c r="G89" s="39" t="s">
        <v>42</v>
      </c>
      <c r="H89" s="39" t="s">
        <v>1436</v>
      </c>
      <c r="I89" s="38" t="s">
        <v>1418</v>
      </c>
      <c r="J89" s="39" t="s">
        <v>42</v>
      </c>
      <c r="K89" s="39" t="s">
        <v>1419</v>
      </c>
      <c r="L89" s="39" t="s">
        <v>42</v>
      </c>
      <c r="M89" s="39" t="s">
        <v>519</v>
      </c>
      <c r="N89" s="46" t="s">
        <v>1356</v>
      </c>
    </row>
    <row r="90" spans="1:14" ht="29">
      <c r="A90" s="39" t="s">
        <v>299</v>
      </c>
      <c r="B90" s="39" t="s">
        <v>300</v>
      </c>
      <c r="C90" s="46">
        <v>16</v>
      </c>
      <c r="D90" s="39" t="s">
        <v>1437</v>
      </c>
      <c r="E90" s="39" t="s">
        <v>1301</v>
      </c>
      <c r="F90" s="39" t="s">
        <v>42</v>
      </c>
      <c r="G90" s="39" t="s">
        <v>42</v>
      </c>
      <c r="H90" s="39" t="s">
        <v>1437</v>
      </c>
      <c r="I90" s="38" t="s">
        <v>1418</v>
      </c>
      <c r="J90" s="39" t="s">
        <v>42</v>
      </c>
      <c r="K90" s="39" t="s">
        <v>1419</v>
      </c>
      <c r="L90" s="39" t="s">
        <v>42</v>
      </c>
      <c r="M90" s="39" t="s">
        <v>519</v>
      </c>
      <c r="N90" s="46" t="s">
        <v>1356</v>
      </c>
    </row>
    <row r="91" spans="1:14" ht="29">
      <c r="A91" s="39" t="s">
        <v>299</v>
      </c>
      <c r="B91" s="39" t="s">
        <v>300</v>
      </c>
      <c r="C91" s="46">
        <v>17</v>
      </c>
      <c r="D91" s="39" t="s">
        <v>1438</v>
      </c>
      <c r="E91" s="39" t="s">
        <v>1301</v>
      </c>
      <c r="F91" s="39" t="s">
        <v>42</v>
      </c>
      <c r="G91" s="39" t="s">
        <v>42</v>
      </c>
      <c r="H91" s="39" t="s">
        <v>1438</v>
      </c>
      <c r="I91" s="38" t="s">
        <v>1418</v>
      </c>
      <c r="J91" s="39" t="s">
        <v>42</v>
      </c>
      <c r="K91" s="39" t="s">
        <v>1419</v>
      </c>
      <c r="L91" s="39" t="s">
        <v>42</v>
      </c>
      <c r="M91" s="39" t="s">
        <v>519</v>
      </c>
      <c r="N91" s="46" t="s">
        <v>1356</v>
      </c>
    </row>
    <row r="92" spans="1:14" ht="29">
      <c r="A92" s="39" t="s">
        <v>299</v>
      </c>
      <c r="B92" s="39" t="s">
        <v>300</v>
      </c>
      <c r="C92" s="46">
        <v>18</v>
      </c>
      <c r="D92" s="39" t="s">
        <v>1439</v>
      </c>
      <c r="E92" s="39" t="s">
        <v>1301</v>
      </c>
      <c r="F92" s="39" t="s">
        <v>42</v>
      </c>
      <c r="G92" s="39" t="s">
        <v>42</v>
      </c>
      <c r="H92" s="39" t="s">
        <v>1438</v>
      </c>
      <c r="I92" s="38" t="s">
        <v>1418</v>
      </c>
      <c r="J92" s="39" t="s">
        <v>42</v>
      </c>
      <c r="K92" s="39" t="s">
        <v>1419</v>
      </c>
      <c r="L92" s="39" t="s">
        <v>42</v>
      </c>
      <c r="M92" s="39" t="s">
        <v>519</v>
      </c>
      <c r="N92" s="46" t="s">
        <v>1356</v>
      </c>
    </row>
    <row r="93" spans="1:14" ht="29">
      <c r="A93" s="39" t="s">
        <v>299</v>
      </c>
      <c r="B93" s="39" t="s">
        <v>300</v>
      </c>
      <c r="C93" s="46">
        <v>19</v>
      </c>
      <c r="D93" s="39" t="s">
        <v>1440</v>
      </c>
      <c r="E93" s="39" t="s">
        <v>1301</v>
      </c>
      <c r="F93" s="39" t="s">
        <v>42</v>
      </c>
      <c r="G93" s="39" t="s">
        <v>42</v>
      </c>
      <c r="H93" s="39" t="s">
        <v>1440</v>
      </c>
      <c r="I93" s="38" t="s">
        <v>1418</v>
      </c>
      <c r="J93" s="39" t="s">
        <v>42</v>
      </c>
      <c r="K93" s="39" t="s">
        <v>1419</v>
      </c>
      <c r="L93" s="39" t="s">
        <v>42</v>
      </c>
      <c r="M93" s="39" t="s">
        <v>519</v>
      </c>
      <c r="N93" s="46" t="s">
        <v>1356</v>
      </c>
    </row>
    <row r="94" spans="1:14" ht="29">
      <c r="A94" s="39" t="s">
        <v>299</v>
      </c>
      <c r="B94" s="39" t="s">
        <v>300</v>
      </c>
      <c r="C94" s="46">
        <v>20</v>
      </c>
      <c r="D94" s="39" t="s">
        <v>1441</v>
      </c>
      <c r="E94" s="39" t="s">
        <v>1301</v>
      </c>
      <c r="F94" s="39" t="s">
        <v>42</v>
      </c>
      <c r="G94" s="39" t="s">
        <v>42</v>
      </c>
      <c r="H94" s="39" t="s">
        <v>1333</v>
      </c>
      <c r="I94" s="38" t="s">
        <v>1418</v>
      </c>
      <c r="J94" s="39" t="s">
        <v>42</v>
      </c>
      <c r="K94" s="39" t="s">
        <v>1419</v>
      </c>
      <c r="L94" s="39" t="s">
        <v>42</v>
      </c>
      <c r="M94" s="39" t="s">
        <v>519</v>
      </c>
      <c r="N94" s="46" t="s">
        <v>1356</v>
      </c>
    </row>
    <row r="95" spans="1:14" ht="29">
      <c r="A95" s="39" t="s">
        <v>299</v>
      </c>
      <c r="B95" s="39" t="s">
        <v>300</v>
      </c>
      <c r="C95" s="46">
        <v>21</v>
      </c>
      <c r="D95" s="39" t="s">
        <v>1442</v>
      </c>
      <c r="E95" s="39" t="s">
        <v>1301</v>
      </c>
      <c r="F95" s="39" t="s">
        <v>42</v>
      </c>
      <c r="G95" s="39" t="s">
        <v>42</v>
      </c>
      <c r="H95" s="39" t="s">
        <v>1333</v>
      </c>
      <c r="I95" s="38" t="s">
        <v>1418</v>
      </c>
      <c r="J95" s="39" t="s">
        <v>42</v>
      </c>
      <c r="K95" s="39" t="s">
        <v>1419</v>
      </c>
      <c r="L95" s="39" t="s">
        <v>42</v>
      </c>
      <c r="M95" s="39" t="s">
        <v>519</v>
      </c>
      <c r="N95" s="46" t="s">
        <v>1356</v>
      </c>
    </row>
    <row r="96" spans="1:14" ht="29">
      <c r="A96" s="39" t="s">
        <v>299</v>
      </c>
      <c r="B96" s="39" t="s">
        <v>300</v>
      </c>
      <c r="C96" s="46">
        <v>22</v>
      </c>
      <c r="D96" s="39" t="s">
        <v>1443</v>
      </c>
      <c r="E96" s="39" t="s">
        <v>1301</v>
      </c>
      <c r="F96" s="39" t="s">
        <v>42</v>
      </c>
      <c r="G96" s="39" t="s">
        <v>42</v>
      </c>
      <c r="H96" s="39" t="s">
        <v>1335</v>
      </c>
      <c r="I96" s="38" t="s">
        <v>1418</v>
      </c>
      <c r="J96" s="39" t="s">
        <v>42</v>
      </c>
      <c r="K96" s="39" t="s">
        <v>1419</v>
      </c>
      <c r="L96" s="39" t="s">
        <v>42</v>
      </c>
      <c r="M96" s="39" t="s">
        <v>519</v>
      </c>
      <c r="N96" s="46" t="s">
        <v>1356</v>
      </c>
    </row>
    <row r="97" spans="1:14" s="9" customFormat="1" ht="29">
      <c r="A97" s="40" t="s">
        <v>299</v>
      </c>
      <c r="B97" s="40" t="s">
        <v>300</v>
      </c>
      <c r="C97" s="47">
        <v>23</v>
      </c>
      <c r="D97" s="40" t="s">
        <v>1444</v>
      </c>
      <c r="E97" s="40" t="s">
        <v>1301</v>
      </c>
      <c r="F97" s="40" t="s">
        <v>42</v>
      </c>
      <c r="G97" s="40" t="s">
        <v>42</v>
      </c>
      <c r="H97" s="40" t="s">
        <v>1335</v>
      </c>
      <c r="I97" s="42" t="s">
        <v>1418</v>
      </c>
      <c r="J97" s="40" t="s">
        <v>42</v>
      </c>
      <c r="K97" s="39" t="s">
        <v>1419</v>
      </c>
      <c r="L97" s="40" t="s">
        <v>42</v>
      </c>
      <c r="M97" s="40" t="s">
        <v>519</v>
      </c>
      <c r="N97" s="47" t="s">
        <v>1356</v>
      </c>
    </row>
    <row r="98" spans="1:14" ht="14.5">
      <c r="A98" s="39" t="s">
        <v>304</v>
      </c>
      <c r="B98" s="39" t="s">
        <v>305</v>
      </c>
      <c r="C98" s="46">
        <v>1</v>
      </c>
      <c r="D98" s="39" t="s">
        <v>1300</v>
      </c>
      <c r="E98" s="39" t="s">
        <v>1301</v>
      </c>
      <c r="F98" s="39" t="s">
        <v>42</v>
      </c>
      <c r="G98" s="39" t="s">
        <v>42</v>
      </c>
      <c r="H98" s="39" t="s">
        <v>1445</v>
      </c>
      <c r="I98" s="39" t="s">
        <v>1446</v>
      </c>
      <c r="J98" s="39" t="s">
        <v>42</v>
      </c>
      <c r="K98" s="39" t="s">
        <v>42</v>
      </c>
      <c r="L98" s="39" t="s">
        <v>42</v>
      </c>
      <c r="M98" s="39" t="s">
        <v>519</v>
      </c>
      <c r="N98" s="46" t="s">
        <v>1447</v>
      </c>
    </row>
    <row r="99" spans="1:14" ht="14.5">
      <c r="A99" s="39" t="s">
        <v>304</v>
      </c>
      <c r="B99" s="39" t="s">
        <v>305</v>
      </c>
      <c r="C99" s="46">
        <v>2</v>
      </c>
      <c r="D99" s="39" t="s">
        <v>1300</v>
      </c>
      <c r="E99" s="39" t="s">
        <v>1301</v>
      </c>
      <c r="F99" s="39" t="s">
        <v>42</v>
      </c>
      <c r="G99" s="39" t="s">
        <v>42</v>
      </c>
      <c r="H99" s="39" t="s">
        <v>1448</v>
      </c>
      <c r="I99" s="39" t="s">
        <v>1449</v>
      </c>
      <c r="J99" s="39" t="s">
        <v>42</v>
      </c>
      <c r="K99" s="39" t="s">
        <v>42</v>
      </c>
      <c r="L99" s="39" t="s">
        <v>42</v>
      </c>
      <c r="M99" s="39" t="s">
        <v>519</v>
      </c>
      <c r="N99" s="46" t="s">
        <v>1447</v>
      </c>
    </row>
    <row r="100" spans="1:14" s="9" customFormat="1" ht="14.5">
      <c r="A100" s="40" t="s">
        <v>304</v>
      </c>
      <c r="B100" s="40" t="s">
        <v>305</v>
      </c>
      <c r="C100" s="47">
        <v>3</v>
      </c>
      <c r="D100" s="40" t="s">
        <v>1300</v>
      </c>
      <c r="E100" s="40" t="s">
        <v>1301</v>
      </c>
      <c r="F100" s="40" t="s">
        <v>42</v>
      </c>
      <c r="G100" s="40" t="s">
        <v>42</v>
      </c>
      <c r="H100" s="40" t="s">
        <v>1450</v>
      </c>
      <c r="I100" s="40" t="s">
        <v>1451</v>
      </c>
      <c r="J100" s="40" t="s">
        <v>42</v>
      </c>
      <c r="K100" s="40" t="s">
        <v>42</v>
      </c>
      <c r="L100" s="40" t="s">
        <v>42</v>
      </c>
      <c r="M100" s="40" t="s">
        <v>519</v>
      </c>
      <c r="N100" s="47" t="s">
        <v>1447</v>
      </c>
    </row>
    <row r="101" spans="1:14" ht="14.5">
      <c r="A101" s="39" t="s">
        <v>314</v>
      </c>
      <c r="B101" s="39" t="s">
        <v>315</v>
      </c>
      <c r="C101" s="46">
        <v>1</v>
      </c>
      <c r="D101" s="39" t="s">
        <v>1452</v>
      </c>
      <c r="E101" s="39" t="s">
        <v>1381</v>
      </c>
      <c r="F101" s="39" t="s">
        <v>42</v>
      </c>
      <c r="G101" s="39" t="s">
        <v>42</v>
      </c>
      <c r="H101" s="39" t="s">
        <v>1453</v>
      </c>
      <c r="I101" s="39" t="s">
        <v>1454</v>
      </c>
      <c r="J101" s="39" t="s">
        <v>42</v>
      </c>
      <c r="K101" s="39" t="s">
        <v>42</v>
      </c>
      <c r="L101" s="39" t="s">
        <v>42</v>
      </c>
      <c r="M101" s="39" t="s">
        <v>1304</v>
      </c>
      <c r="N101" s="39" t="s">
        <v>42</v>
      </c>
    </row>
    <row r="102" spans="1:14" ht="14.5">
      <c r="A102" s="39" t="s">
        <v>314</v>
      </c>
      <c r="B102" s="39" t="s">
        <v>315</v>
      </c>
      <c r="C102" s="46">
        <v>2</v>
      </c>
      <c r="D102" s="39" t="s">
        <v>1452</v>
      </c>
      <c r="E102" s="39" t="s">
        <v>1381</v>
      </c>
      <c r="F102" s="39" t="s">
        <v>42</v>
      </c>
      <c r="G102" s="39" t="s">
        <v>42</v>
      </c>
      <c r="H102" s="39" t="s">
        <v>1453</v>
      </c>
      <c r="I102" s="39" t="s">
        <v>1454</v>
      </c>
      <c r="J102" s="39" t="s">
        <v>42</v>
      </c>
      <c r="K102" s="39" t="s">
        <v>42</v>
      </c>
      <c r="L102" s="39" t="s">
        <v>42</v>
      </c>
      <c r="M102" s="39" t="s">
        <v>1304</v>
      </c>
      <c r="N102" s="39" t="s">
        <v>42</v>
      </c>
    </row>
    <row r="103" spans="1:14" ht="14.5">
      <c r="A103" s="39" t="s">
        <v>314</v>
      </c>
      <c r="B103" s="39" t="s">
        <v>315</v>
      </c>
      <c r="C103" s="46">
        <v>3</v>
      </c>
      <c r="D103" s="39" t="s">
        <v>1452</v>
      </c>
      <c r="E103" s="39" t="s">
        <v>1381</v>
      </c>
      <c r="F103" s="39" t="s">
        <v>42</v>
      </c>
      <c r="G103" s="39" t="s">
        <v>42</v>
      </c>
      <c r="H103" s="39" t="s">
        <v>1455</v>
      </c>
      <c r="I103" s="38" t="s">
        <v>1456</v>
      </c>
      <c r="J103" s="39" t="s">
        <v>42</v>
      </c>
      <c r="K103" s="39" t="s">
        <v>42</v>
      </c>
      <c r="L103" s="39" t="s">
        <v>42</v>
      </c>
      <c r="M103" s="39" t="s">
        <v>1304</v>
      </c>
      <c r="N103" s="39" t="s">
        <v>42</v>
      </c>
    </row>
    <row r="104" spans="1:14" ht="14.5">
      <c r="A104" s="39" t="s">
        <v>314</v>
      </c>
      <c r="B104" s="39" t="s">
        <v>315</v>
      </c>
      <c r="C104" s="46">
        <v>4</v>
      </c>
      <c r="D104" s="39" t="s">
        <v>1452</v>
      </c>
      <c r="E104" s="39" t="s">
        <v>1381</v>
      </c>
      <c r="F104" s="39" t="s">
        <v>42</v>
      </c>
      <c r="G104" s="39" t="s">
        <v>42</v>
      </c>
      <c r="H104" s="39" t="s">
        <v>1455</v>
      </c>
      <c r="I104" s="38" t="s">
        <v>1456</v>
      </c>
      <c r="J104" s="39" t="s">
        <v>42</v>
      </c>
      <c r="K104" s="39" t="s">
        <v>42</v>
      </c>
      <c r="L104" s="39" t="s">
        <v>42</v>
      </c>
      <c r="M104" s="39" t="s">
        <v>1304</v>
      </c>
      <c r="N104" s="39" t="s">
        <v>42</v>
      </c>
    </row>
    <row r="105" spans="1:14" ht="14.5">
      <c r="A105" s="39" t="s">
        <v>314</v>
      </c>
      <c r="B105" s="39" t="s">
        <v>315</v>
      </c>
      <c r="C105" s="46">
        <v>5</v>
      </c>
      <c r="D105" s="39" t="s">
        <v>1457</v>
      </c>
      <c r="E105" s="39" t="s">
        <v>1381</v>
      </c>
      <c r="F105" s="39" t="s">
        <v>42</v>
      </c>
      <c r="G105" s="39" t="s">
        <v>42</v>
      </c>
      <c r="H105" s="39" t="s">
        <v>1458</v>
      </c>
      <c r="I105" s="38" t="s">
        <v>1459</v>
      </c>
      <c r="J105" s="39" t="s">
        <v>42</v>
      </c>
      <c r="K105" s="39" t="s">
        <v>42</v>
      </c>
      <c r="L105" s="39" t="s">
        <v>42</v>
      </c>
      <c r="M105" s="39" t="s">
        <v>1304</v>
      </c>
      <c r="N105" s="39" t="s">
        <v>42</v>
      </c>
    </row>
    <row r="106" spans="1:14" ht="14.5">
      <c r="A106" s="39" t="s">
        <v>314</v>
      </c>
      <c r="B106" s="39" t="s">
        <v>315</v>
      </c>
      <c r="C106" s="46">
        <v>6</v>
      </c>
      <c r="D106" s="39" t="s">
        <v>1457</v>
      </c>
      <c r="E106" s="39" t="s">
        <v>1381</v>
      </c>
      <c r="F106" s="39" t="s">
        <v>42</v>
      </c>
      <c r="G106" s="39" t="s">
        <v>42</v>
      </c>
      <c r="H106" s="39" t="s">
        <v>1458</v>
      </c>
      <c r="I106" s="38" t="s">
        <v>1459</v>
      </c>
      <c r="J106" s="39" t="s">
        <v>42</v>
      </c>
      <c r="K106" s="39" t="s">
        <v>42</v>
      </c>
      <c r="L106" s="39" t="s">
        <v>42</v>
      </c>
      <c r="M106" s="39" t="s">
        <v>1304</v>
      </c>
      <c r="N106" s="39" t="s">
        <v>42</v>
      </c>
    </row>
    <row r="107" spans="1:14" s="9" customFormat="1" ht="14.5">
      <c r="A107" s="40" t="s">
        <v>314</v>
      </c>
      <c r="B107" s="40" t="s">
        <v>315</v>
      </c>
      <c r="C107" s="47">
        <v>7</v>
      </c>
      <c r="D107" s="40" t="s">
        <v>1457</v>
      </c>
      <c r="E107" s="40" t="s">
        <v>1381</v>
      </c>
      <c r="F107" s="40" t="s">
        <v>42</v>
      </c>
      <c r="G107" s="40" t="s">
        <v>42</v>
      </c>
      <c r="H107" s="40" t="s">
        <v>1458</v>
      </c>
      <c r="I107" s="42" t="s">
        <v>1459</v>
      </c>
      <c r="J107" s="40" t="s">
        <v>42</v>
      </c>
      <c r="K107" s="40" t="s">
        <v>42</v>
      </c>
      <c r="L107" s="40" t="s">
        <v>42</v>
      </c>
      <c r="M107" s="40" t="s">
        <v>1304</v>
      </c>
      <c r="N107" s="40" t="s">
        <v>42</v>
      </c>
    </row>
    <row r="108" spans="1:14" s="9" customFormat="1" ht="14.5">
      <c r="A108" s="40" t="s">
        <v>326</v>
      </c>
      <c r="B108" s="40" t="s">
        <v>327</v>
      </c>
      <c r="C108" s="47">
        <v>1</v>
      </c>
      <c r="D108" s="40" t="s">
        <v>1410</v>
      </c>
      <c r="E108" s="40" t="s">
        <v>1402</v>
      </c>
      <c r="F108" s="40" t="s">
        <v>42</v>
      </c>
      <c r="G108" s="40" t="s">
        <v>42</v>
      </c>
      <c r="H108" s="40" t="s">
        <v>1411</v>
      </c>
      <c r="I108" s="40" t="s">
        <v>1460</v>
      </c>
      <c r="J108" s="42" t="s">
        <v>1461</v>
      </c>
      <c r="K108" s="40" t="s">
        <v>42</v>
      </c>
      <c r="L108" s="40" t="s">
        <v>42</v>
      </c>
      <c r="M108" s="39" t="s">
        <v>1304</v>
      </c>
      <c r="N108" s="47" t="s">
        <v>1389</v>
      </c>
    </row>
    <row r="109" spans="1:14" s="9" customFormat="1" ht="14.5">
      <c r="A109" s="40" t="s">
        <v>333</v>
      </c>
      <c r="B109" s="40" t="s">
        <v>334</v>
      </c>
      <c r="C109" s="47">
        <v>1</v>
      </c>
      <c r="D109" s="40" t="s">
        <v>1410</v>
      </c>
      <c r="E109" s="40" t="s">
        <v>1402</v>
      </c>
      <c r="F109" s="40">
        <v>6</v>
      </c>
      <c r="G109" s="40" t="s">
        <v>42</v>
      </c>
      <c r="H109" s="40" t="s">
        <v>1411</v>
      </c>
      <c r="I109" s="40" t="s">
        <v>1460</v>
      </c>
      <c r="J109" s="42" t="s">
        <v>1461</v>
      </c>
      <c r="K109" s="40" t="s">
        <v>42</v>
      </c>
      <c r="L109" s="40" t="s">
        <v>42</v>
      </c>
      <c r="M109" s="40" t="s">
        <v>42</v>
      </c>
      <c r="N109" s="47" t="s">
        <v>1389</v>
      </c>
    </row>
    <row r="110" spans="1:14" ht="14.5">
      <c r="A110" s="39" t="s">
        <v>345</v>
      </c>
      <c r="B110" s="39" t="s">
        <v>346</v>
      </c>
      <c r="C110" s="46">
        <v>1</v>
      </c>
      <c r="D110" s="39" t="s">
        <v>1365</v>
      </c>
      <c r="E110" s="39" t="s">
        <v>1339</v>
      </c>
      <c r="F110" s="39">
        <f>2018-1982</f>
        <v>36</v>
      </c>
      <c r="G110" s="39" t="s">
        <v>42</v>
      </c>
      <c r="H110" s="39" t="s">
        <v>1365</v>
      </c>
      <c r="I110" s="39" t="s">
        <v>1462</v>
      </c>
      <c r="J110" s="39" t="s">
        <v>42</v>
      </c>
      <c r="K110" s="39" t="s">
        <v>1463</v>
      </c>
      <c r="L110" s="39" t="s">
        <v>42</v>
      </c>
      <c r="M110" s="39" t="s">
        <v>1464</v>
      </c>
      <c r="N110" s="46" t="s">
        <v>1447</v>
      </c>
    </row>
    <row r="111" spans="1:14" ht="14.5">
      <c r="A111" s="39" t="s">
        <v>345</v>
      </c>
      <c r="B111" s="39" t="s">
        <v>346</v>
      </c>
      <c r="C111" s="46">
        <v>2</v>
      </c>
      <c r="D111" s="39" t="s">
        <v>1465</v>
      </c>
      <c r="E111" s="39" t="s">
        <v>1339</v>
      </c>
      <c r="F111" s="39">
        <f>2018-2005</f>
        <v>13</v>
      </c>
      <c r="G111" s="39" t="s">
        <v>42</v>
      </c>
      <c r="H111" s="39" t="s">
        <v>1465</v>
      </c>
      <c r="I111" s="39" t="s">
        <v>1462</v>
      </c>
      <c r="J111" s="39" t="s">
        <v>42</v>
      </c>
      <c r="K111" s="39" t="s">
        <v>1463</v>
      </c>
      <c r="L111" s="39" t="s">
        <v>42</v>
      </c>
      <c r="M111" s="39" t="s">
        <v>42</v>
      </c>
      <c r="N111" s="46" t="s">
        <v>1447</v>
      </c>
    </row>
    <row r="112" spans="1:14" ht="14.5">
      <c r="A112" s="39" t="s">
        <v>345</v>
      </c>
      <c r="B112" s="39" t="s">
        <v>346</v>
      </c>
      <c r="C112" s="46">
        <v>3</v>
      </c>
      <c r="D112" s="39" t="s">
        <v>1466</v>
      </c>
      <c r="E112" s="39" t="s">
        <v>1467</v>
      </c>
      <c r="F112" s="39">
        <v>17</v>
      </c>
      <c r="G112" s="39" t="s">
        <v>42</v>
      </c>
      <c r="H112" s="39" t="s">
        <v>1466</v>
      </c>
      <c r="I112" s="39" t="s">
        <v>1462</v>
      </c>
      <c r="J112" s="39" t="s">
        <v>42</v>
      </c>
      <c r="K112" s="39" t="s">
        <v>1468</v>
      </c>
      <c r="L112" s="39" t="s">
        <v>42</v>
      </c>
      <c r="M112" s="39" t="s">
        <v>42</v>
      </c>
      <c r="N112" s="46" t="s">
        <v>1447</v>
      </c>
    </row>
    <row r="113" spans="1:14" ht="14.5">
      <c r="A113" s="39" t="s">
        <v>345</v>
      </c>
      <c r="B113" s="39" t="s">
        <v>346</v>
      </c>
      <c r="C113" s="46">
        <v>4</v>
      </c>
      <c r="D113" s="39" t="s">
        <v>1297</v>
      </c>
      <c r="E113" s="39" t="s">
        <v>1467</v>
      </c>
      <c r="F113" s="39">
        <v>17</v>
      </c>
      <c r="G113" s="39" t="s">
        <v>42</v>
      </c>
      <c r="H113" s="39" t="s">
        <v>1297</v>
      </c>
      <c r="I113" s="39" t="s">
        <v>1462</v>
      </c>
      <c r="J113" s="39" t="s">
        <v>42</v>
      </c>
      <c r="K113" s="39" t="s">
        <v>1468</v>
      </c>
      <c r="L113" s="39" t="s">
        <v>42</v>
      </c>
      <c r="M113" s="39" t="s">
        <v>42</v>
      </c>
      <c r="N113" s="46" t="s">
        <v>1447</v>
      </c>
    </row>
    <row r="114" spans="1:14" ht="14.5">
      <c r="A114" s="39" t="s">
        <v>345</v>
      </c>
      <c r="B114" s="39" t="s">
        <v>346</v>
      </c>
      <c r="C114" s="46">
        <v>5</v>
      </c>
      <c r="D114" s="39" t="s">
        <v>1469</v>
      </c>
      <c r="E114" s="39" t="s">
        <v>1470</v>
      </c>
      <c r="F114" s="39">
        <v>6</v>
      </c>
      <c r="G114" s="39" t="s">
        <v>42</v>
      </c>
      <c r="H114" s="39" t="s">
        <v>1469</v>
      </c>
      <c r="I114" s="39" t="s">
        <v>1462</v>
      </c>
      <c r="J114" s="39" t="s">
        <v>42</v>
      </c>
      <c r="K114" s="39" t="s">
        <v>1471</v>
      </c>
      <c r="L114" s="39" t="s">
        <v>42</v>
      </c>
      <c r="M114" s="39" t="s">
        <v>42</v>
      </c>
      <c r="N114" s="46" t="s">
        <v>1447</v>
      </c>
    </row>
    <row r="115" spans="1:14" ht="14.5">
      <c r="A115" s="39" t="s">
        <v>345</v>
      </c>
      <c r="B115" s="39" t="s">
        <v>346</v>
      </c>
      <c r="C115" s="46">
        <v>6</v>
      </c>
      <c r="D115" s="39" t="s">
        <v>1472</v>
      </c>
      <c r="E115" s="39" t="s">
        <v>1470</v>
      </c>
      <c r="F115" s="39">
        <v>6</v>
      </c>
      <c r="G115" s="39" t="s">
        <v>42</v>
      </c>
      <c r="H115" s="39" t="s">
        <v>1472</v>
      </c>
      <c r="I115" s="39" t="s">
        <v>1462</v>
      </c>
      <c r="J115" s="39" t="s">
        <v>42</v>
      </c>
      <c r="K115" s="39" t="s">
        <v>1471</v>
      </c>
      <c r="L115" s="39" t="s">
        <v>42</v>
      </c>
      <c r="M115" s="39" t="s">
        <v>42</v>
      </c>
      <c r="N115" s="46" t="s">
        <v>1447</v>
      </c>
    </row>
    <row r="116" spans="1:14" ht="14.5">
      <c r="A116" s="39" t="s">
        <v>345</v>
      </c>
      <c r="B116" s="39" t="s">
        <v>346</v>
      </c>
      <c r="C116" s="46">
        <v>7</v>
      </c>
      <c r="D116" s="39" t="s">
        <v>1473</v>
      </c>
      <c r="E116" s="39" t="s">
        <v>1470</v>
      </c>
      <c r="F116" s="39">
        <v>6</v>
      </c>
      <c r="G116" s="39" t="s">
        <v>42</v>
      </c>
      <c r="H116" s="39" t="s">
        <v>1473</v>
      </c>
      <c r="I116" s="39" t="s">
        <v>1462</v>
      </c>
      <c r="J116" s="39" t="s">
        <v>42</v>
      </c>
      <c r="K116" s="39" t="s">
        <v>1471</v>
      </c>
      <c r="L116" s="39" t="s">
        <v>42</v>
      </c>
      <c r="M116" s="39" t="s">
        <v>42</v>
      </c>
      <c r="N116" s="46" t="s">
        <v>1447</v>
      </c>
    </row>
    <row r="117" spans="1:14" ht="14.5">
      <c r="A117" s="39" t="s">
        <v>345</v>
      </c>
      <c r="B117" s="39" t="s">
        <v>346</v>
      </c>
      <c r="C117" s="46">
        <v>8</v>
      </c>
      <c r="D117" s="39" t="s">
        <v>1474</v>
      </c>
      <c r="E117" s="39" t="s">
        <v>1470</v>
      </c>
      <c r="F117" s="39">
        <v>6</v>
      </c>
      <c r="G117" s="39" t="s">
        <v>42</v>
      </c>
      <c r="H117" s="39" t="s">
        <v>1474</v>
      </c>
      <c r="I117" s="39" t="s">
        <v>1462</v>
      </c>
      <c r="J117" s="39" t="s">
        <v>42</v>
      </c>
      <c r="K117" s="39" t="s">
        <v>1471</v>
      </c>
      <c r="L117" s="39" t="s">
        <v>42</v>
      </c>
      <c r="M117" s="39" t="s">
        <v>42</v>
      </c>
      <c r="N117" s="46" t="s">
        <v>1447</v>
      </c>
    </row>
    <row r="118" spans="1:14" s="9" customFormat="1" ht="14.5">
      <c r="A118" s="40" t="s">
        <v>345</v>
      </c>
      <c r="B118" s="40" t="s">
        <v>346</v>
      </c>
      <c r="C118" s="47">
        <v>9</v>
      </c>
      <c r="D118" s="40" t="s">
        <v>1475</v>
      </c>
      <c r="E118" s="40" t="s">
        <v>1470</v>
      </c>
      <c r="F118" s="40">
        <v>6</v>
      </c>
      <c r="G118" s="40" t="s">
        <v>42</v>
      </c>
      <c r="H118" s="40" t="s">
        <v>1475</v>
      </c>
      <c r="I118" s="40" t="s">
        <v>1462</v>
      </c>
      <c r="J118" s="40" t="s">
        <v>42</v>
      </c>
      <c r="K118" s="40" t="s">
        <v>1471</v>
      </c>
      <c r="L118" s="40" t="s">
        <v>42</v>
      </c>
      <c r="M118" s="40" t="s">
        <v>42</v>
      </c>
      <c r="N118" s="47" t="s">
        <v>1447</v>
      </c>
    </row>
    <row r="119" spans="1:14" s="9" customFormat="1" ht="14.5">
      <c r="A119" s="40" t="s">
        <v>351</v>
      </c>
      <c r="B119" s="40" t="s">
        <v>352</v>
      </c>
      <c r="C119" s="47">
        <v>1</v>
      </c>
      <c r="D119" s="40" t="s">
        <v>1410</v>
      </c>
      <c r="E119" s="40" t="s">
        <v>1402</v>
      </c>
      <c r="F119" s="40">
        <v>15</v>
      </c>
      <c r="G119" s="40" t="s">
        <v>1476</v>
      </c>
      <c r="H119" s="40" t="s">
        <v>1411</v>
      </c>
      <c r="I119" s="40" t="s">
        <v>1460</v>
      </c>
      <c r="J119" s="40" t="s">
        <v>1477</v>
      </c>
      <c r="K119" s="40" t="s">
        <v>42</v>
      </c>
      <c r="L119" s="40" t="s">
        <v>42</v>
      </c>
      <c r="M119" s="40" t="s">
        <v>42</v>
      </c>
      <c r="N119" s="47" t="s">
        <v>1389</v>
      </c>
    </row>
    <row r="120" spans="1:14" ht="14.5">
      <c r="A120" s="39" t="s">
        <v>357</v>
      </c>
      <c r="B120" s="39" t="s">
        <v>358</v>
      </c>
      <c r="C120" s="46">
        <v>1</v>
      </c>
      <c r="D120" s="39" t="s">
        <v>1305</v>
      </c>
      <c r="E120" s="39" t="s">
        <v>1381</v>
      </c>
      <c r="F120" s="39" t="s">
        <v>42</v>
      </c>
      <c r="G120" s="39" t="s">
        <v>42</v>
      </c>
      <c r="H120" s="39" t="s">
        <v>1305</v>
      </c>
      <c r="I120" s="39" t="s">
        <v>1396</v>
      </c>
      <c r="J120" s="39" t="s">
        <v>42</v>
      </c>
      <c r="K120" s="39" t="s">
        <v>42</v>
      </c>
      <c r="L120" s="39" t="s">
        <v>42</v>
      </c>
      <c r="M120" s="39" t="s">
        <v>42</v>
      </c>
      <c r="N120" s="39" t="s">
        <v>1389</v>
      </c>
    </row>
    <row r="121" spans="1:14" s="9" customFormat="1" ht="14.5">
      <c r="A121" s="40" t="s">
        <v>357</v>
      </c>
      <c r="B121" s="40" t="s">
        <v>358</v>
      </c>
      <c r="C121" s="47">
        <v>2</v>
      </c>
      <c r="D121" s="40" t="s">
        <v>1365</v>
      </c>
      <c r="E121" s="40" t="s">
        <v>1339</v>
      </c>
      <c r="F121" s="40" t="s">
        <v>42</v>
      </c>
      <c r="G121" s="40" t="s">
        <v>42</v>
      </c>
      <c r="H121" s="40" t="s">
        <v>1365</v>
      </c>
      <c r="I121" s="40" t="s">
        <v>1478</v>
      </c>
      <c r="J121" s="40" t="s">
        <v>42</v>
      </c>
      <c r="K121" s="40" t="s">
        <v>42</v>
      </c>
      <c r="L121" s="40" t="s">
        <v>42</v>
      </c>
      <c r="M121" s="40" t="s">
        <v>42</v>
      </c>
      <c r="N121" s="40" t="s">
        <v>1389</v>
      </c>
    </row>
    <row r="122" spans="1:14" s="9" customFormat="1" ht="14.5">
      <c r="A122" s="40" t="s">
        <v>362</v>
      </c>
      <c r="B122" s="40" t="s">
        <v>363</v>
      </c>
      <c r="C122" s="47">
        <v>1</v>
      </c>
      <c r="D122" s="40" t="s">
        <v>1401</v>
      </c>
      <c r="E122" s="40" t="s">
        <v>1402</v>
      </c>
      <c r="F122" s="40" t="s">
        <v>42</v>
      </c>
      <c r="G122" s="40" t="s">
        <v>1479</v>
      </c>
      <c r="H122" s="40" t="s">
        <v>1480</v>
      </c>
      <c r="I122" s="40" t="s">
        <v>1481</v>
      </c>
      <c r="J122" s="40" t="s">
        <v>1482</v>
      </c>
      <c r="K122" s="40" t="s">
        <v>42</v>
      </c>
      <c r="L122" s="40" t="s">
        <v>42</v>
      </c>
      <c r="M122" s="40" t="s">
        <v>42</v>
      </c>
      <c r="N122" s="47" t="s">
        <v>1356</v>
      </c>
    </row>
    <row r="123" spans="1:14" s="9" customFormat="1" ht="14.5">
      <c r="A123" s="40" t="s">
        <v>370</v>
      </c>
      <c r="B123" s="40" t="s">
        <v>371</v>
      </c>
      <c r="C123" s="47">
        <v>1</v>
      </c>
      <c r="D123" s="40" t="s">
        <v>1401</v>
      </c>
      <c r="E123" s="40" t="s">
        <v>1402</v>
      </c>
      <c r="F123" s="40">
        <f>2010-1997</f>
        <v>13</v>
      </c>
      <c r="G123" s="40" t="s">
        <v>42</v>
      </c>
      <c r="H123" s="40" t="s">
        <v>1480</v>
      </c>
      <c r="I123" s="40" t="s">
        <v>1483</v>
      </c>
      <c r="J123" s="50" t="s">
        <v>1484</v>
      </c>
      <c r="K123" s="40" t="s">
        <v>42</v>
      </c>
      <c r="L123" s="40" t="s">
        <v>42</v>
      </c>
      <c r="M123" s="40" t="s">
        <v>42</v>
      </c>
      <c r="N123" s="47" t="s">
        <v>42</v>
      </c>
    </row>
    <row r="124" spans="1:14" s="9" customFormat="1" ht="14.5">
      <c r="A124" s="40" t="s">
        <v>373</v>
      </c>
      <c r="B124" s="40" t="s">
        <v>374</v>
      </c>
      <c r="C124" s="47">
        <v>1</v>
      </c>
      <c r="D124" s="40" t="s">
        <v>1401</v>
      </c>
      <c r="E124" s="40" t="s">
        <v>1402</v>
      </c>
      <c r="F124" s="40" t="s">
        <v>42</v>
      </c>
      <c r="G124" s="40" t="s">
        <v>1485</v>
      </c>
      <c r="H124" s="40" t="s">
        <v>1480</v>
      </c>
      <c r="I124" s="40" t="s">
        <v>1483</v>
      </c>
      <c r="J124" s="50" t="s">
        <v>1484</v>
      </c>
      <c r="K124" s="40" t="s">
        <v>42</v>
      </c>
      <c r="L124" s="40" t="s">
        <v>42</v>
      </c>
      <c r="M124" s="40" t="s">
        <v>42</v>
      </c>
      <c r="N124" s="47" t="s">
        <v>42</v>
      </c>
    </row>
    <row r="125" spans="1:14" s="9" customFormat="1" ht="14.5">
      <c r="A125" s="40" t="s">
        <v>380</v>
      </c>
      <c r="B125" s="40" t="s">
        <v>381</v>
      </c>
      <c r="C125" s="47">
        <v>1</v>
      </c>
      <c r="D125" s="40" t="s">
        <v>1401</v>
      </c>
      <c r="E125" s="40" t="s">
        <v>1402</v>
      </c>
      <c r="F125" s="40" t="s">
        <v>42</v>
      </c>
      <c r="G125" s="40" t="s">
        <v>1486</v>
      </c>
      <c r="H125" s="40" t="s">
        <v>1480</v>
      </c>
      <c r="I125" s="40" t="s">
        <v>1487</v>
      </c>
      <c r="J125" s="50" t="s">
        <v>1482</v>
      </c>
      <c r="K125" s="40" t="s">
        <v>42</v>
      </c>
      <c r="L125" s="40" t="s">
        <v>42</v>
      </c>
      <c r="M125" s="40" t="s">
        <v>42</v>
      </c>
      <c r="N125" s="47" t="s">
        <v>1347</v>
      </c>
    </row>
    <row r="126" spans="1:14" s="9" customFormat="1" ht="14.5">
      <c r="A126" s="40" t="s">
        <v>395</v>
      </c>
      <c r="B126" s="40" t="s">
        <v>396</v>
      </c>
      <c r="C126" s="47">
        <v>1</v>
      </c>
      <c r="D126" s="40" t="s">
        <v>42</v>
      </c>
      <c r="E126" s="40" t="s">
        <v>1301</v>
      </c>
      <c r="F126" s="40" t="s">
        <v>42</v>
      </c>
      <c r="G126" s="40" t="s">
        <v>42</v>
      </c>
      <c r="H126" s="40" t="s">
        <v>1488</v>
      </c>
      <c r="I126" s="40" t="s">
        <v>42</v>
      </c>
      <c r="J126" s="40" t="s">
        <v>42</v>
      </c>
      <c r="K126" s="40" t="s">
        <v>1489</v>
      </c>
      <c r="L126" s="40" t="s">
        <v>42</v>
      </c>
      <c r="M126" s="40" t="s">
        <v>1490</v>
      </c>
      <c r="N126" s="47" t="s">
        <v>42</v>
      </c>
    </row>
    <row r="127" spans="1:14" s="9" customFormat="1" ht="14.5">
      <c r="A127" s="40" t="s">
        <v>409</v>
      </c>
      <c r="B127" s="40" t="s">
        <v>410</v>
      </c>
      <c r="C127" s="47">
        <v>1</v>
      </c>
      <c r="D127" s="40" t="s">
        <v>1491</v>
      </c>
      <c r="E127" s="40" t="s">
        <v>1492</v>
      </c>
      <c r="F127" s="40">
        <f>2017-2003</f>
        <v>14</v>
      </c>
      <c r="G127" s="40" t="s">
        <v>1493</v>
      </c>
      <c r="H127" s="40" t="s">
        <v>1494</v>
      </c>
      <c r="I127" s="40" t="s">
        <v>42</v>
      </c>
      <c r="J127" s="40" t="s">
        <v>42</v>
      </c>
      <c r="K127" s="40" t="s">
        <v>42</v>
      </c>
      <c r="L127" s="40" t="s">
        <v>42</v>
      </c>
      <c r="M127" s="40" t="s">
        <v>42</v>
      </c>
      <c r="N127" s="47" t="s">
        <v>1347</v>
      </c>
    </row>
    <row r="128" spans="1:14" ht="14.5">
      <c r="A128" s="39" t="s">
        <v>424</v>
      </c>
      <c r="B128" s="39" t="s">
        <v>425</v>
      </c>
      <c r="C128" s="46">
        <v>1</v>
      </c>
      <c r="D128" s="39" t="s">
        <v>1495</v>
      </c>
      <c r="E128" s="40" t="s">
        <v>1402</v>
      </c>
      <c r="F128" s="39">
        <f>2012-2005</f>
        <v>7</v>
      </c>
      <c r="G128" s="39" t="s">
        <v>1496</v>
      </c>
      <c r="H128" s="39" t="s">
        <v>1314</v>
      </c>
      <c r="I128" s="39" t="s">
        <v>42</v>
      </c>
      <c r="J128" s="39" t="s">
        <v>42</v>
      </c>
      <c r="K128" s="39" t="s">
        <v>42</v>
      </c>
      <c r="L128" s="39" t="s">
        <v>42</v>
      </c>
      <c r="M128" s="39" t="s">
        <v>118</v>
      </c>
      <c r="N128" s="46" t="s">
        <v>42</v>
      </c>
    </row>
    <row r="129" spans="1:14" ht="14.5">
      <c r="A129" s="39" t="s">
        <v>424</v>
      </c>
      <c r="B129" s="39" t="s">
        <v>425</v>
      </c>
      <c r="C129" s="46">
        <v>2</v>
      </c>
      <c r="D129" s="39" t="s">
        <v>1497</v>
      </c>
      <c r="E129" s="39" t="s">
        <v>1381</v>
      </c>
      <c r="F129" s="39">
        <f>2012-1997</f>
        <v>15</v>
      </c>
      <c r="G129" s="39" t="s">
        <v>1498</v>
      </c>
      <c r="H129" s="39" t="s">
        <v>1314</v>
      </c>
      <c r="I129" s="39" t="s">
        <v>42</v>
      </c>
      <c r="J129" s="39" t="s">
        <v>42</v>
      </c>
      <c r="K129" s="39" t="s">
        <v>42</v>
      </c>
      <c r="L129" s="39" t="s">
        <v>42</v>
      </c>
      <c r="M129" s="39" t="s">
        <v>1499</v>
      </c>
      <c r="N129" s="46" t="s">
        <v>42</v>
      </c>
    </row>
    <row r="130" spans="1:14" ht="14.5">
      <c r="A130" s="39" t="s">
        <v>424</v>
      </c>
      <c r="B130" s="39" t="s">
        <v>425</v>
      </c>
      <c r="C130" s="46">
        <v>3</v>
      </c>
      <c r="D130" s="39" t="s">
        <v>1500</v>
      </c>
      <c r="E130" s="39" t="s">
        <v>1381</v>
      </c>
      <c r="F130" s="39">
        <f>2012-1998</f>
        <v>14</v>
      </c>
      <c r="G130" s="39" t="s">
        <v>1501</v>
      </c>
      <c r="H130" s="39" t="s">
        <v>1314</v>
      </c>
      <c r="I130" s="39" t="s">
        <v>42</v>
      </c>
      <c r="J130" s="39" t="s">
        <v>42</v>
      </c>
      <c r="K130" s="39" t="s">
        <v>42</v>
      </c>
      <c r="L130" s="39" t="s">
        <v>42</v>
      </c>
      <c r="M130" s="39" t="s">
        <v>1502</v>
      </c>
      <c r="N130" s="46" t="s">
        <v>42</v>
      </c>
    </row>
    <row r="131" spans="1:14" ht="14.5">
      <c r="A131" s="39" t="s">
        <v>424</v>
      </c>
      <c r="B131" s="39" t="s">
        <v>425</v>
      </c>
      <c r="C131" s="46">
        <v>4</v>
      </c>
      <c r="D131" s="39" t="s">
        <v>1503</v>
      </c>
      <c r="E131" s="39" t="s">
        <v>1381</v>
      </c>
      <c r="F131" s="39">
        <f>2012-2005</f>
        <v>7</v>
      </c>
      <c r="G131" s="39" t="s">
        <v>1504</v>
      </c>
      <c r="H131" s="39" t="s">
        <v>1314</v>
      </c>
      <c r="I131" s="39" t="s">
        <v>42</v>
      </c>
      <c r="J131" s="39" t="s">
        <v>42</v>
      </c>
      <c r="K131" s="39" t="s">
        <v>42</v>
      </c>
      <c r="L131" s="39" t="s">
        <v>42</v>
      </c>
      <c r="M131" s="39" t="s">
        <v>1502</v>
      </c>
      <c r="N131" s="46" t="s">
        <v>42</v>
      </c>
    </row>
    <row r="132" spans="1:14" s="9" customFormat="1" ht="14.5">
      <c r="A132" s="40" t="s">
        <v>424</v>
      </c>
      <c r="B132" s="40" t="s">
        <v>425</v>
      </c>
      <c r="C132" s="47">
        <v>5</v>
      </c>
      <c r="D132" s="40" t="s">
        <v>1505</v>
      </c>
      <c r="E132" s="40" t="s">
        <v>1506</v>
      </c>
      <c r="F132" s="40">
        <f>2012-2006</f>
        <v>6</v>
      </c>
      <c r="G132" s="40" t="s">
        <v>1507</v>
      </c>
      <c r="H132" s="40" t="s">
        <v>1508</v>
      </c>
      <c r="I132" s="40" t="s">
        <v>42</v>
      </c>
      <c r="J132" s="40" t="s">
        <v>42</v>
      </c>
      <c r="K132" s="40" t="s">
        <v>42</v>
      </c>
      <c r="L132" s="40" t="s">
        <v>42</v>
      </c>
      <c r="M132" s="40" t="s">
        <v>1509</v>
      </c>
      <c r="N132" s="46" t="s">
        <v>42</v>
      </c>
    </row>
    <row r="133" spans="1:14" ht="14.5">
      <c r="A133" s="39" t="s">
        <v>438</v>
      </c>
      <c r="B133" s="39" t="s">
        <v>439</v>
      </c>
      <c r="C133" s="46">
        <v>1</v>
      </c>
      <c r="D133" s="39" t="s">
        <v>1377</v>
      </c>
      <c r="E133" s="39" t="s">
        <v>1288</v>
      </c>
      <c r="F133" s="39">
        <f>2013-1982</f>
        <v>31</v>
      </c>
      <c r="G133" s="39" t="s">
        <v>42</v>
      </c>
      <c r="H133" s="39" t="s">
        <v>1377</v>
      </c>
      <c r="I133" s="39" t="s">
        <v>1510</v>
      </c>
      <c r="J133" s="39" t="s">
        <v>42</v>
      </c>
      <c r="K133" s="39" t="s">
        <v>42</v>
      </c>
      <c r="L133" s="39" t="s">
        <v>42</v>
      </c>
      <c r="M133" s="39" t="s">
        <v>1511</v>
      </c>
      <c r="N133" s="46" t="s">
        <v>42</v>
      </c>
    </row>
    <row r="134" spans="1:14" ht="14.5">
      <c r="A134" s="39" t="s">
        <v>438</v>
      </c>
      <c r="B134" s="39" t="s">
        <v>439</v>
      </c>
      <c r="C134" s="46">
        <v>2</v>
      </c>
      <c r="D134" s="39" t="s">
        <v>1305</v>
      </c>
      <c r="E134" s="39" t="s">
        <v>1381</v>
      </c>
      <c r="F134" s="39" t="s">
        <v>42</v>
      </c>
      <c r="G134" s="39" t="s">
        <v>42</v>
      </c>
      <c r="H134" s="39" t="s">
        <v>1305</v>
      </c>
      <c r="I134" s="39" t="s">
        <v>1510</v>
      </c>
      <c r="J134" s="39" t="s">
        <v>42</v>
      </c>
      <c r="K134" s="39" t="s">
        <v>42</v>
      </c>
      <c r="L134" s="39" t="s">
        <v>42</v>
      </c>
      <c r="M134" s="39" t="s">
        <v>1511</v>
      </c>
      <c r="N134" s="46" t="s">
        <v>42</v>
      </c>
    </row>
    <row r="135" spans="1:14" ht="14.5">
      <c r="A135" s="39" t="s">
        <v>438</v>
      </c>
      <c r="B135" s="39" t="s">
        <v>439</v>
      </c>
      <c r="C135" s="46">
        <v>3</v>
      </c>
      <c r="D135" s="39" t="s">
        <v>1333</v>
      </c>
      <c r="E135" s="39" t="s">
        <v>1381</v>
      </c>
      <c r="F135" s="39" t="s">
        <v>42</v>
      </c>
      <c r="G135" s="39" t="s">
        <v>42</v>
      </c>
      <c r="H135" s="39" t="s">
        <v>1333</v>
      </c>
      <c r="I135" s="39" t="s">
        <v>1510</v>
      </c>
      <c r="J135" s="39" t="s">
        <v>42</v>
      </c>
      <c r="K135" s="39" t="s">
        <v>42</v>
      </c>
      <c r="L135" s="39" t="s">
        <v>42</v>
      </c>
      <c r="M135" s="39" t="s">
        <v>1511</v>
      </c>
      <c r="N135" s="46" t="s">
        <v>42</v>
      </c>
    </row>
    <row r="136" spans="1:14" ht="14.5">
      <c r="A136" s="39" t="s">
        <v>438</v>
      </c>
      <c r="B136" s="39" t="s">
        <v>439</v>
      </c>
      <c r="C136" s="46">
        <v>4</v>
      </c>
      <c r="D136" s="39" t="s">
        <v>1332</v>
      </c>
      <c r="E136" s="39" t="s">
        <v>1381</v>
      </c>
      <c r="F136" s="39" t="s">
        <v>42</v>
      </c>
      <c r="G136" s="39" t="s">
        <v>42</v>
      </c>
      <c r="H136" s="39" t="s">
        <v>1332</v>
      </c>
      <c r="I136" s="39" t="s">
        <v>1510</v>
      </c>
      <c r="J136" s="39" t="s">
        <v>42</v>
      </c>
      <c r="K136" s="39" t="s">
        <v>42</v>
      </c>
      <c r="L136" s="39" t="s">
        <v>42</v>
      </c>
      <c r="M136" s="39" t="s">
        <v>1511</v>
      </c>
      <c r="N136" s="46" t="s">
        <v>42</v>
      </c>
    </row>
    <row r="137" spans="1:14" ht="14.5">
      <c r="A137" s="39" t="s">
        <v>438</v>
      </c>
      <c r="B137" s="39" t="s">
        <v>439</v>
      </c>
      <c r="C137" s="46">
        <v>5</v>
      </c>
      <c r="D137" s="39" t="s">
        <v>1331</v>
      </c>
      <c r="E137" s="39" t="s">
        <v>1381</v>
      </c>
      <c r="F137" s="39" t="s">
        <v>42</v>
      </c>
      <c r="G137" s="39" t="s">
        <v>42</v>
      </c>
      <c r="H137" s="39" t="s">
        <v>1331</v>
      </c>
      <c r="I137" s="39" t="s">
        <v>1510</v>
      </c>
      <c r="J137" s="39" t="s">
        <v>42</v>
      </c>
      <c r="K137" s="39" t="s">
        <v>42</v>
      </c>
      <c r="L137" s="39" t="s">
        <v>42</v>
      </c>
      <c r="M137" s="39" t="s">
        <v>1511</v>
      </c>
      <c r="N137" s="46" t="s">
        <v>42</v>
      </c>
    </row>
    <row r="138" spans="1:14" s="9" customFormat="1" ht="14.5">
      <c r="A138" s="40" t="s">
        <v>438</v>
      </c>
      <c r="B138" s="40" t="s">
        <v>439</v>
      </c>
      <c r="C138" s="47">
        <v>6</v>
      </c>
      <c r="D138" s="40" t="s">
        <v>1436</v>
      </c>
      <c r="E138" s="40" t="s">
        <v>1381</v>
      </c>
      <c r="F138" s="40" t="s">
        <v>42</v>
      </c>
      <c r="G138" s="40" t="s">
        <v>42</v>
      </c>
      <c r="H138" s="40" t="s">
        <v>1436</v>
      </c>
      <c r="I138" s="40" t="s">
        <v>1510</v>
      </c>
      <c r="J138" s="40" t="s">
        <v>42</v>
      </c>
      <c r="K138" s="40" t="s">
        <v>42</v>
      </c>
      <c r="L138" s="40" t="s">
        <v>42</v>
      </c>
      <c r="M138" s="40" t="s">
        <v>1511</v>
      </c>
      <c r="N138" s="47" t="s">
        <v>42</v>
      </c>
    </row>
    <row r="139" spans="1:14" ht="14.5">
      <c r="A139" s="39" t="s">
        <v>453</v>
      </c>
      <c r="B139" s="39" t="s">
        <v>454</v>
      </c>
      <c r="C139" s="46">
        <v>1</v>
      </c>
      <c r="D139" s="39" t="s">
        <v>1426</v>
      </c>
      <c r="E139" s="39" t="s">
        <v>1381</v>
      </c>
      <c r="F139" s="39">
        <v>7</v>
      </c>
      <c r="G139" s="39" t="s">
        <v>42</v>
      </c>
      <c r="H139" s="39" t="s">
        <v>1426</v>
      </c>
      <c r="I139" s="39" t="s">
        <v>1512</v>
      </c>
      <c r="J139" s="39" t="s">
        <v>1513</v>
      </c>
      <c r="K139" s="39" t="s">
        <v>42</v>
      </c>
      <c r="L139" s="39" t="s">
        <v>42</v>
      </c>
      <c r="M139" s="39" t="s">
        <v>519</v>
      </c>
      <c r="N139" s="39" t="s">
        <v>42</v>
      </c>
    </row>
    <row r="140" spans="1:14" ht="14.5">
      <c r="A140" s="39" t="s">
        <v>453</v>
      </c>
      <c r="B140" s="39" t="s">
        <v>454</v>
      </c>
      <c r="C140" s="46">
        <v>2</v>
      </c>
      <c r="D140" s="39" t="s">
        <v>1514</v>
      </c>
      <c r="E140" s="39" t="s">
        <v>1381</v>
      </c>
      <c r="F140" s="39">
        <v>7</v>
      </c>
      <c r="G140" s="39" t="s">
        <v>42</v>
      </c>
      <c r="H140" s="39" t="s">
        <v>1514</v>
      </c>
      <c r="I140" s="39" t="s">
        <v>1512</v>
      </c>
      <c r="J140" s="39" t="s">
        <v>1513</v>
      </c>
      <c r="K140" s="39" t="s">
        <v>42</v>
      </c>
      <c r="L140" s="39" t="s">
        <v>42</v>
      </c>
      <c r="M140" s="39" t="s">
        <v>519</v>
      </c>
      <c r="N140" s="39" t="s">
        <v>42</v>
      </c>
    </row>
    <row r="141" spans="1:14" ht="14.5">
      <c r="A141" s="39" t="s">
        <v>453</v>
      </c>
      <c r="B141" s="39" t="s">
        <v>454</v>
      </c>
      <c r="C141" s="46">
        <v>3</v>
      </c>
      <c r="D141" s="39" t="s">
        <v>1338</v>
      </c>
      <c r="E141" s="39" t="s">
        <v>1381</v>
      </c>
      <c r="F141" s="39">
        <v>7</v>
      </c>
      <c r="G141" s="39" t="s">
        <v>42</v>
      </c>
      <c r="H141" s="39" t="s">
        <v>1338</v>
      </c>
      <c r="I141" s="39" t="s">
        <v>42</v>
      </c>
      <c r="J141" s="39" t="s">
        <v>42</v>
      </c>
      <c r="K141" s="39" t="s">
        <v>42</v>
      </c>
      <c r="L141" s="39" t="s">
        <v>42</v>
      </c>
      <c r="M141" s="39" t="s">
        <v>519</v>
      </c>
      <c r="N141" s="39" t="s">
        <v>42</v>
      </c>
    </row>
    <row r="142" spans="1:14" ht="14.5">
      <c r="A142" s="39" t="s">
        <v>453</v>
      </c>
      <c r="B142" s="39" t="s">
        <v>454</v>
      </c>
      <c r="C142" s="46">
        <v>4</v>
      </c>
      <c r="D142" s="39" t="s">
        <v>1305</v>
      </c>
      <c r="E142" s="39" t="s">
        <v>1381</v>
      </c>
      <c r="F142" s="39">
        <v>7</v>
      </c>
      <c r="G142" s="39" t="s">
        <v>42</v>
      </c>
      <c r="H142" s="39" t="s">
        <v>1305</v>
      </c>
      <c r="I142" s="39" t="s">
        <v>42</v>
      </c>
      <c r="J142" s="39" t="s">
        <v>42</v>
      </c>
      <c r="K142" s="39" t="s">
        <v>42</v>
      </c>
      <c r="L142" s="39" t="s">
        <v>42</v>
      </c>
      <c r="M142" s="39" t="s">
        <v>519</v>
      </c>
      <c r="N142" s="39" t="s">
        <v>42</v>
      </c>
    </row>
    <row r="143" spans="1:14" ht="14.5">
      <c r="A143" s="39" t="s">
        <v>453</v>
      </c>
      <c r="B143" s="39" t="s">
        <v>454</v>
      </c>
      <c r="C143" s="46">
        <v>5</v>
      </c>
      <c r="D143" s="39" t="s">
        <v>1515</v>
      </c>
      <c r="E143" s="39" t="s">
        <v>1381</v>
      </c>
      <c r="F143" s="39">
        <v>3</v>
      </c>
      <c r="G143" s="39" t="s">
        <v>42</v>
      </c>
      <c r="H143" s="39" t="s">
        <v>1515</v>
      </c>
      <c r="I143" s="39" t="s">
        <v>1516</v>
      </c>
      <c r="J143" s="48" t="s">
        <v>1517</v>
      </c>
      <c r="K143" s="39" t="s">
        <v>42</v>
      </c>
      <c r="L143" s="39" t="s">
        <v>42</v>
      </c>
      <c r="M143" s="39" t="s">
        <v>519</v>
      </c>
      <c r="N143" s="39" t="s">
        <v>42</v>
      </c>
    </row>
    <row r="144" spans="1:14" ht="14.5">
      <c r="A144" s="39" t="s">
        <v>453</v>
      </c>
      <c r="B144" s="39" t="s">
        <v>454</v>
      </c>
      <c r="C144" s="46">
        <v>6</v>
      </c>
      <c r="D144" s="39" t="s">
        <v>1518</v>
      </c>
      <c r="E144" s="39" t="s">
        <v>1381</v>
      </c>
      <c r="F144" s="39">
        <v>3</v>
      </c>
      <c r="G144" s="39" t="s">
        <v>42</v>
      </c>
      <c r="H144" s="39" t="s">
        <v>1518</v>
      </c>
      <c r="I144" s="39" t="s">
        <v>1519</v>
      </c>
      <c r="J144" s="39" t="s">
        <v>1520</v>
      </c>
      <c r="K144" s="39" t="s">
        <v>42</v>
      </c>
      <c r="L144" s="39" t="s">
        <v>42</v>
      </c>
      <c r="M144" s="39" t="s">
        <v>519</v>
      </c>
      <c r="N144" s="39" t="s">
        <v>42</v>
      </c>
    </row>
    <row r="145" spans="1:14" ht="14.5">
      <c r="A145" s="39" t="s">
        <v>453</v>
      </c>
      <c r="B145" s="39" t="s">
        <v>454</v>
      </c>
      <c r="C145" s="46">
        <v>7</v>
      </c>
      <c r="D145" s="39" t="s">
        <v>1521</v>
      </c>
      <c r="E145" s="39" t="s">
        <v>1381</v>
      </c>
      <c r="F145" s="39">
        <v>3</v>
      </c>
      <c r="G145" s="39" t="s">
        <v>42</v>
      </c>
      <c r="H145" s="39" t="s">
        <v>1521</v>
      </c>
      <c r="I145" s="39" t="s">
        <v>1516</v>
      </c>
      <c r="J145" s="39" t="s">
        <v>1517</v>
      </c>
      <c r="K145" s="39" t="s">
        <v>42</v>
      </c>
      <c r="L145" s="39" t="s">
        <v>42</v>
      </c>
      <c r="M145" s="39" t="s">
        <v>519</v>
      </c>
      <c r="N145" s="39" t="s">
        <v>42</v>
      </c>
    </row>
    <row r="146" spans="1:14" s="9" customFormat="1" ht="14.5">
      <c r="A146" s="40" t="s">
        <v>453</v>
      </c>
      <c r="B146" s="40" t="s">
        <v>454</v>
      </c>
      <c r="C146" s="47">
        <v>8</v>
      </c>
      <c r="D146" s="40" t="s">
        <v>1522</v>
      </c>
      <c r="E146" s="40" t="s">
        <v>1381</v>
      </c>
      <c r="F146" s="40">
        <v>5</v>
      </c>
      <c r="G146" s="40" t="s">
        <v>42</v>
      </c>
      <c r="H146" s="40" t="s">
        <v>1522</v>
      </c>
      <c r="I146" s="40" t="s">
        <v>1523</v>
      </c>
      <c r="J146" s="40" t="s">
        <v>1524</v>
      </c>
      <c r="K146" s="40" t="s">
        <v>42</v>
      </c>
      <c r="L146" s="40" t="s">
        <v>42</v>
      </c>
      <c r="M146" s="40" t="s">
        <v>519</v>
      </c>
      <c r="N146" s="40" t="s">
        <v>42</v>
      </c>
    </row>
    <row r="147" spans="1:14" s="9" customFormat="1" ht="14.5">
      <c r="A147" s="40" t="s">
        <v>460</v>
      </c>
      <c r="B147" s="40" t="s">
        <v>461</v>
      </c>
      <c r="C147" s="47">
        <v>1</v>
      </c>
      <c r="D147" s="40" t="s">
        <v>1495</v>
      </c>
      <c r="E147" s="40" t="s">
        <v>1402</v>
      </c>
      <c r="F147" s="40">
        <v>3</v>
      </c>
      <c r="G147" s="40" t="s">
        <v>42</v>
      </c>
      <c r="H147" s="40" t="s">
        <v>1525</v>
      </c>
      <c r="I147" s="40" t="s">
        <v>1526</v>
      </c>
      <c r="J147" s="50" t="s">
        <v>1527</v>
      </c>
      <c r="K147" s="40" t="s">
        <v>42</v>
      </c>
      <c r="L147" s="40" t="s">
        <v>42</v>
      </c>
      <c r="M147" s="40" t="s">
        <v>118</v>
      </c>
      <c r="N147" s="47" t="s">
        <v>42</v>
      </c>
    </row>
    <row r="148" spans="1:14" s="9" customFormat="1" ht="14.5">
      <c r="A148" s="40" t="s">
        <v>465</v>
      </c>
      <c r="B148" s="40" t="s">
        <v>466</v>
      </c>
      <c r="C148" s="47">
        <v>1</v>
      </c>
      <c r="D148" s="40" t="s">
        <v>1528</v>
      </c>
      <c r="E148" s="40" t="s">
        <v>1288</v>
      </c>
      <c r="F148" s="40">
        <v>10</v>
      </c>
      <c r="G148" s="40">
        <v>15000000</v>
      </c>
      <c r="H148" s="40" t="s">
        <v>1375</v>
      </c>
      <c r="I148" s="40" t="s">
        <v>42</v>
      </c>
      <c r="J148" s="40" t="s">
        <v>42</v>
      </c>
      <c r="K148" s="40" t="s">
        <v>42</v>
      </c>
      <c r="L148" s="40" t="s">
        <v>42</v>
      </c>
      <c r="M148" s="40" t="s">
        <v>1529</v>
      </c>
      <c r="N148" s="47" t="s">
        <v>42</v>
      </c>
    </row>
    <row r="149" spans="1:14" s="9" customFormat="1" ht="14.5">
      <c r="A149" s="40" t="s">
        <v>474</v>
      </c>
      <c r="B149" s="40" t="s">
        <v>475</v>
      </c>
      <c r="C149" s="52">
        <v>1</v>
      </c>
      <c r="D149" s="40" t="s">
        <v>1530</v>
      </c>
      <c r="E149" s="40" t="s">
        <v>1381</v>
      </c>
      <c r="F149" s="40">
        <f>2010-1997</f>
        <v>13</v>
      </c>
      <c r="G149" s="40" t="s">
        <v>42</v>
      </c>
      <c r="H149" s="40" t="s">
        <v>1531</v>
      </c>
      <c r="I149" s="40" t="s">
        <v>1532</v>
      </c>
      <c r="J149" s="50" t="s">
        <v>1533</v>
      </c>
      <c r="K149" s="40" t="s">
        <v>42</v>
      </c>
      <c r="L149" s="40" t="s">
        <v>42</v>
      </c>
      <c r="M149" s="40" t="s">
        <v>1534</v>
      </c>
      <c r="N149" s="47" t="s">
        <v>42</v>
      </c>
    </row>
    <row r="150" spans="1:14" s="9" customFormat="1" ht="15" customHeight="1">
      <c r="A150" s="40" t="s">
        <v>482</v>
      </c>
      <c r="B150" s="40" t="s">
        <v>483</v>
      </c>
      <c r="C150" s="47">
        <v>1</v>
      </c>
      <c r="D150" s="40" t="s">
        <v>1535</v>
      </c>
      <c r="E150" s="40" t="s">
        <v>1381</v>
      </c>
      <c r="F150" s="40">
        <v>19</v>
      </c>
      <c r="G150" s="40" t="s">
        <v>42</v>
      </c>
      <c r="H150" s="40" t="s">
        <v>1536</v>
      </c>
      <c r="I150" s="40" t="s">
        <v>42</v>
      </c>
      <c r="J150" s="40" t="s">
        <v>42</v>
      </c>
      <c r="K150" s="40" t="s">
        <v>42</v>
      </c>
      <c r="L150" s="40" t="s">
        <v>42</v>
      </c>
      <c r="M150" s="40" t="s">
        <v>1537</v>
      </c>
      <c r="N150" s="47" t="s">
        <v>42</v>
      </c>
    </row>
    <row r="151" spans="1:14" ht="15" customHeight="1">
      <c r="A151" s="39" t="s">
        <v>487</v>
      </c>
      <c r="B151" s="39" t="s">
        <v>488</v>
      </c>
      <c r="C151" s="46">
        <v>1</v>
      </c>
      <c r="D151" s="39" t="s">
        <v>1538</v>
      </c>
      <c r="E151" s="39" t="s">
        <v>1381</v>
      </c>
      <c r="F151" s="39" t="s">
        <v>42</v>
      </c>
      <c r="G151" s="39" t="s">
        <v>42</v>
      </c>
      <c r="H151" s="39" t="s">
        <v>1538</v>
      </c>
      <c r="I151" s="39" t="s">
        <v>42</v>
      </c>
      <c r="J151" s="39" t="s">
        <v>42</v>
      </c>
      <c r="K151" s="39" t="s">
        <v>42</v>
      </c>
      <c r="L151" s="39" t="s">
        <v>42</v>
      </c>
      <c r="M151" s="39" t="s">
        <v>519</v>
      </c>
      <c r="N151" s="46" t="s">
        <v>42</v>
      </c>
    </row>
    <row r="152" spans="1:14" ht="15" customHeight="1">
      <c r="A152" s="39" t="s">
        <v>487</v>
      </c>
      <c r="B152" s="39" t="s">
        <v>488</v>
      </c>
      <c r="C152" s="46">
        <v>2</v>
      </c>
      <c r="D152" s="39" t="s">
        <v>1539</v>
      </c>
      <c r="E152" s="39" t="s">
        <v>1540</v>
      </c>
      <c r="F152" s="39" t="s">
        <v>42</v>
      </c>
      <c r="G152" s="39" t="s">
        <v>42</v>
      </c>
      <c r="H152" s="39" t="s">
        <v>1541</v>
      </c>
      <c r="I152" s="39" t="s">
        <v>42</v>
      </c>
      <c r="J152" s="39" t="s">
        <v>42</v>
      </c>
      <c r="K152" s="39" t="s">
        <v>42</v>
      </c>
      <c r="L152" s="39" t="s">
        <v>42</v>
      </c>
      <c r="M152" s="39" t="s">
        <v>1542</v>
      </c>
      <c r="N152" s="46" t="s">
        <v>42</v>
      </c>
    </row>
    <row r="153" spans="1:14" ht="15" customHeight="1">
      <c r="A153" s="39" t="s">
        <v>487</v>
      </c>
      <c r="B153" s="39" t="s">
        <v>488</v>
      </c>
      <c r="C153" s="46">
        <v>3</v>
      </c>
      <c r="D153" s="39" t="s">
        <v>1543</v>
      </c>
      <c r="E153" s="39" t="s">
        <v>1339</v>
      </c>
      <c r="F153" s="39" t="s">
        <v>42</v>
      </c>
      <c r="G153" s="39" t="s">
        <v>42</v>
      </c>
      <c r="H153" s="39" t="s">
        <v>1544</v>
      </c>
      <c r="I153" s="39" t="s">
        <v>42</v>
      </c>
      <c r="J153" s="39" t="s">
        <v>42</v>
      </c>
      <c r="K153" s="39" t="s">
        <v>42</v>
      </c>
      <c r="L153" s="39" t="s">
        <v>42</v>
      </c>
      <c r="M153" s="39" t="s">
        <v>42</v>
      </c>
      <c r="N153" s="46" t="s">
        <v>42</v>
      </c>
    </row>
    <row r="154" spans="1:14" s="9" customFormat="1" ht="15" customHeight="1">
      <c r="A154" s="40" t="s">
        <v>487</v>
      </c>
      <c r="B154" s="40" t="s">
        <v>488</v>
      </c>
      <c r="C154" s="47">
        <v>4</v>
      </c>
      <c r="D154" s="40" t="s">
        <v>1545</v>
      </c>
      <c r="E154" s="40" t="s">
        <v>1381</v>
      </c>
      <c r="F154" s="40" t="s">
        <v>42</v>
      </c>
      <c r="G154" s="40" t="s">
        <v>42</v>
      </c>
      <c r="H154" s="40" t="s">
        <v>1545</v>
      </c>
      <c r="I154" s="40" t="s">
        <v>42</v>
      </c>
      <c r="J154" s="40" t="s">
        <v>42</v>
      </c>
      <c r="K154" s="40" t="s">
        <v>42</v>
      </c>
      <c r="L154" s="40" t="s">
        <v>42</v>
      </c>
      <c r="M154" s="40" t="s">
        <v>519</v>
      </c>
      <c r="N154" s="47" t="s">
        <v>42</v>
      </c>
    </row>
    <row r="155" spans="1:14" s="9" customFormat="1" ht="15" customHeight="1">
      <c r="A155" s="40" t="s">
        <v>491</v>
      </c>
      <c r="B155" s="53" t="s">
        <v>492</v>
      </c>
      <c r="C155" s="47">
        <v>1</v>
      </c>
      <c r="D155" s="40" t="s">
        <v>1546</v>
      </c>
      <c r="E155" s="40" t="s">
        <v>1547</v>
      </c>
      <c r="F155" s="40">
        <v>1</v>
      </c>
      <c r="G155" s="40" t="s">
        <v>1548</v>
      </c>
      <c r="H155" s="40" t="s">
        <v>1549</v>
      </c>
      <c r="I155" s="40" t="s">
        <v>42</v>
      </c>
      <c r="J155" s="40" t="s">
        <v>42</v>
      </c>
      <c r="K155" s="40" t="s">
        <v>1550</v>
      </c>
      <c r="L155" s="40" t="s">
        <v>1551</v>
      </c>
      <c r="M155" s="40" t="s">
        <v>1552</v>
      </c>
      <c r="N155" s="47" t="s">
        <v>42</v>
      </c>
    </row>
    <row r="156" spans="1:14" ht="15" customHeight="1">
      <c r="A156" s="54" t="s">
        <v>495</v>
      </c>
      <c r="B156" s="39" t="s">
        <v>496</v>
      </c>
      <c r="C156" s="46">
        <v>1</v>
      </c>
      <c r="D156" s="39" t="s">
        <v>1553</v>
      </c>
      <c r="E156" s="39" t="s">
        <v>1301</v>
      </c>
      <c r="F156" s="39" t="s">
        <v>42</v>
      </c>
      <c r="G156" s="39" t="s">
        <v>42</v>
      </c>
      <c r="H156" s="39" t="s">
        <v>1554</v>
      </c>
      <c r="I156" s="39" t="s">
        <v>42</v>
      </c>
      <c r="J156" s="39" t="s">
        <v>42</v>
      </c>
      <c r="K156" s="39" t="s">
        <v>42</v>
      </c>
      <c r="L156" s="39" t="s">
        <v>42</v>
      </c>
      <c r="M156" s="39" t="s">
        <v>1555</v>
      </c>
      <c r="N156" s="46" t="s">
        <v>1356</v>
      </c>
    </row>
    <row r="157" spans="1:14" ht="15" customHeight="1">
      <c r="A157" s="54" t="s">
        <v>495</v>
      </c>
      <c r="B157" s="39" t="s">
        <v>496</v>
      </c>
      <c r="C157" s="46">
        <v>2</v>
      </c>
      <c r="D157" s="39" t="s">
        <v>1556</v>
      </c>
      <c r="E157" s="39" t="s">
        <v>1301</v>
      </c>
      <c r="F157" s="39" t="s">
        <v>42</v>
      </c>
      <c r="G157" s="39" t="s">
        <v>42</v>
      </c>
      <c r="H157" s="39" t="s">
        <v>1554</v>
      </c>
      <c r="I157" s="39" t="s">
        <v>42</v>
      </c>
      <c r="J157" s="39" t="s">
        <v>42</v>
      </c>
      <c r="K157" s="39" t="s">
        <v>42</v>
      </c>
      <c r="L157" s="39" t="s">
        <v>42</v>
      </c>
      <c r="M157" s="39" t="s">
        <v>1555</v>
      </c>
      <c r="N157" s="46" t="s">
        <v>1356</v>
      </c>
    </row>
    <row r="158" spans="1:14" ht="15" customHeight="1">
      <c r="A158" s="54" t="s">
        <v>495</v>
      </c>
      <c r="B158" s="39" t="s">
        <v>496</v>
      </c>
      <c r="C158" s="46">
        <v>3</v>
      </c>
      <c r="D158" s="39" t="s">
        <v>1557</v>
      </c>
      <c r="E158" s="39" t="s">
        <v>1301</v>
      </c>
      <c r="F158" s="39" t="s">
        <v>42</v>
      </c>
      <c r="G158" s="39" t="s">
        <v>42</v>
      </c>
      <c r="H158" s="39" t="s">
        <v>1554</v>
      </c>
      <c r="I158" s="39" t="s">
        <v>42</v>
      </c>
      <c r="J158" s="39" t="s">
        <v>42</v>
      </c>
      <c r="K158" s="39" t="s">
        <v>42</v>
      </c>
      <c r="L158" s="39" t="s">
        <v>42</v>
      </c>
      <c r="M158" s="39" t="s">
        <v>1555</v>
      </c>
      <c r="N158" s="46" t="s">
        <v>1356</v>
      </c>
    </row>
    <row r="159" spans="1:14" ht="15" customHeight="1">
      <c r="A159" s="54" t="s">
        <v>495</v>
      </c>
      <c r="B159" s="39" t="s">
        <v>496</v>
      </c>
      <c r="C159" s="46">
        <v>4</v>
      </c>
      <c r="D159" s="39" t="s">
        <v>1558</v>
      </c>
      <c r="E159" s="39" t="s">
        <v>1301</v>
      </c>
      <c r="F159" s="39" t="s">
        <v>42</v>
      </c>
      <c r="G159" s="39" t="s">
        <v>42</v>
      </c>
      <c r="H159" s="39" t="s">
        <v>1554</v>
      </c>
      <c r="I159" s="39" t="s">
        <v>42</v>
      </c>
      <c r="J159" s="39" t="s">
        <v>42</v>
      </c>
      <c r="K159" s="39" t="s">
        <v>42</v>
      </c>
      <c r="L159" s="39" t="s">
        <v>42</v>
      </c>
      <c r="M159" s="39" t="s">
        <v>1555</v>
      </c>
      <c r="N159" s="46" t="s">
        <v>1356</v>
      </c>
    </row>
    <row r="160" spans="1:14" ht="15" customHeight="1">
      <c r="A160" s="54" t="s">
        <v>495</v>
      </c>
      <c r="B160" s="39" t="s">
        <v>496</v>
      </c>
      <c r="C160" s="46">
        <v>5</v>
      </c>
      <c r="D160" s="39" t="s">
        <v>1559</v>
      </c>
      <c r="E160" s="39" t="s">
        <v>1301</v>
      </c>
      <c r="F160" s="39" t="s">
        <v>42</v>
      </c>
      <c r="G160" s="39" t="s">
        <v>42</v>
      </c>
      <c r="H160" s="39" t="s">
        <v>1554</v>
      </c>
      <c r="I160" s="39" t="s">
        <v>42</v>
      </c>
      <c r="J160" s="39" t="s">
        <v>42</v>
      </c>
      <c r="K160" s="39" t="s">
        <v>42</v>
      </c>
      <c r="L160" s="39" t="s">
        <v>42</v>
      </c>
      <c r="M160" s="39" t="s">
        <v>1555</v>
      </c>
      <c r="N160" s="46" t="s">
        <v>1356</v>
      </c>
    </row>
    <row r="161" spans="1:14" ht="15" customHeight="1">
      <c r="A161" s="54" t="s">
        <v>495</v>
      </c>
      <c r="B161" s="39" t="s">
        <v>496</v>
      </c>
      <c r="C161" s="46">
        <v>6</v>
      </c>
      <c r="D161" s="39" t="s">
        <v>1560</v>
      </c>
      <c r="E161" s="39" t="s">
        <v>1301</v>
      </c>
      <c r="F161" s="39" t="s">
        <v>42</v>
      </c>
      <c r="G161" s="39" t="s">
        <v>42</v>
      </c>
      <c r="H161" s="39" t="s">
        <v>1554</v>
      </c>
      <c r="I161" s="39" t="s">
        <v>42</v>
      </c>
      <c r="J161" s="39" t="s">
        <v>42</v>
      </c>
      <c r="K161" s="39" t="s">
        <v>42</v>
      </c>
      <c r="L161" s="39" t="s">
        <v>42</v>
      </c>
      <c r="M161" s="39" t="s">
        <v>1555</v>
      </c>
      <c r="N161" s="46" t="s">
        <v>1356</v>
      </c>
    </row>
    <row r="162" spans="1:14" ht="15" customHeight="1">
      <c r="A162" s="54" t="s">
        <v>495</v>
      </c>
      <c r="B162" s="39" t="s">
        <v>496</v>
      </c>
      <c r="C162" s="46">
        <v>7</v>
      </c>
      <c r="D162" s="39" t="s">
        <v>1561</v>
      </c>
      <c r="E162" s="39" t="s">
        <v>1301</v>
      </c>
      <c r="F162" s="39" t="s">
        <v>42</v>
      </c>
      <c r="G162" s="39" t="s">
        <v>42</v>
      </c>
      <c r="H162" s="39" t="s">
        <v>1554</v>
      </c>
      <c r="I162" s="39" t="s">
        <v>42</v>
      </c>
      <c r="J162" s="39" t="s">
        <v>42</v>
      </c>
      <c r="K162" s="39" t="s">
        <v>42</v>
      </c>
      <c r="L162" s="39" t="s">
        <v>42</v>
      </c>
      <c r="M162" s="39" t="s">
        <v>1555</v>
      </c>
      <c r="N162" s="46" t="s">
        <v>1356</v>
      </c>
    </row>
    <row r="163" spans="1:14" ht="15" customHeight="1">
      <c r="A163" s="54" t="s">
        <v>495</v>
      </c>
      <c r="B163" s="39" t="s">
        <v>496</v>
      </c>
      <c r="C163" s="46">
        <v>8</v>
      </c>
      <c r="D163" s="39" t="s">
        <v>1562</v>
      </c>
      <c r="E163" s="39" t="s">
        <v>1301</v>
      </c>
      <c r="F163" s="39" t="s">
        <v>42</v>
      </c>
      <c r="G163" s="39" t="s">
        <v>42</v>
      </c>
      <c r="H163" s="39" t="s">
        <v>1554</v>
      </c>
      <c r="I163" s="39" t="s">
        <v>42</v>
      </c>
      <c r="J163" s="39" t="s">
        <v>42</v>
      </c>
      <c r="K163" s="39" t="s">
        <v>42</v>
      </c>
      <c r="L163" s="39" t="s">
        <v>42</v>
      </c>
      <c r="M163" s="39" t="s">
        <v>1555</v>
      </c>
      <c r="N163" s="46" t="s">
        <v>1356</v>
      </c>
    </row>
    <row r="164" spans="1:14" ht="15" customHeight="1">
      <c r="A164" s="54" t="s">
        <v>495</v>
      </c>
      <c r="B164" s="39" t="s">
        <v>496</v>
      </c>
      <c r="C164" s="46">
        <v>9</v>
      </c>
      <c r="D164" s="39" t="s">
        <v>1563</v>
      </c>
      <c r="E164" s="39" t="s">
        <v>1301</v>
      </c>
      <c r="F164" s="39" t="s">
        <v>42</v>
      </c>
      <c r="G164" s="39" t="s">
        <v>42</v>
      </c>
      <c r="H164" s="39" t="s">
        <v>1554</v>
      </c>
      <c r="I164" s="39" t="s">
        <v>42</v>
      </c>
      <c r="J164" s="39" t="s">
        <v>42</v>
      </c>
      <c r="K164" s="39" t="s">
        <v>42</v>
      </c>
      <c r="L164" s="39" t="s">
        <v>42</v>
      </c>
      <c r="M164" s="39" t="s">
        <v>1555</v>
      </c>
      <c r="N164" s="46" t="s">
        <v>1356</v>
      </c>
    </row>
    <row r="165" spans="1:14" ht="15" customHeight="1">
      <c r="A165" s="54" t="s">
        <v>495</v>
      </c>
      <c r="B165" s="39" t="s">
        <v>496</v>
      </c>
      <c r="C165" s="46">
        <v>10</v>
      </c>
      <c r="D165" s="39" t="s">
        <v>1564</v>
      </c>
      <c r="E165" s="39" t="s">
        <v>1301</v>
      </c>
      <c r="F165" s="39" t="s">
        <v>42</v>
      </c>
      <c r="G165" s="39" t="s">
        <v>42</v>
      </c>
      <c r="H165" s="39" t="s">
        <v>1554</v>
      </c>
      <c r="I165" s="39" t="s">
        <v>42</v>
      </c>
      <c r="J165" s="39" t="s">
        <v>42</v>
      </c>
      <c r="K165" s="39" t="s">
        <v>42</v>
      </c>
      <c r="L165" s="39" t="s">
        <v>42</v>
      </c>
      <c r="M165" s="39" t="s">
        <v>1555</v>
      </c>
      <c r="N165" s="46" t="s">
        <v>1356</v>
      </c>
    </row>
    <row r="166" spans="1:14" ht="15" customHeight="1">
      <c r="A166" s="54" t="s">
        <v>495</v>
      </c>
      <c r="B166" s="39" t="s">
        <v>496</v>
      </c>
      <c r="C166" s="46">
        <v>11</v>
      </c>
      <c r="D166" s="39" t="s">
        <v>1565</v>
      </c>
      <c r="E166" s="39" t="s">
        <v>1301</v>
      </c>
      <c r="F166" s="39" t="s">
        <v>42</v>
      </c>
      <c r="G166" s="39" t="s">
        <v>42</v>
      </c>
      <c r="H166" s="39" t="s">
        <v>1554</v>
      </c>
      <c r="I166" s="39" t="s">
        <v>42</v>
      </c>
      <c r="J166" s="39" t="s">
        <v>42</v>
      </c>
      <c r="K166" s="39" t="s">
        <v>42</v>
      </c>
      <c r="L166" s="39" t="s">
        <v>42</v>
      </c>
      <c r="M166" s="39" t="s">
        <v>1555</v>
      </c>
      <c r="N166" s="46" t="s">
        <v>1356</v>
      </c>
    </row>
    <row r="167" spans="1:14" ht="15" customHeight="1">
      <c r="A167" s="54" t="s">
        <v>495</v>
      </c>
      <c r="B167" s="39" t="s">
        <v>496</v>
      </c>
      <c r="C167" s="46">
        <v>12</v>
      </c>
      <c r="D167" s="39" t="s">
        <v>1566</v>
      </c>
      <c r="E167" s="39" t="s">
        <v>1301</v>
      </c>
      <c r="F167" s="39" t="s">
        <v>42</v>
      </c>
      <c r="G167" s="39" t="s">
        <v>42</v>
      </c>
      <c r="H167" s="39" t="s">
        <v>1554</v>
      </c>
      <c r="I167" s="39" t="s">
        <v>42</v>
      </c>
      <c r="J167" s="39" t="s">
        <v>42</v>
      </c>
      <c r="K167" s="39" t="s">
        <v>42</v>
      </c>
      <c r="L167" s="39" t="s">
        <v>42</v>
      </c>
      <c r="M167" s="39" t="s">
        <v>1555</v>
      </c>
      <c r="N167" s="46" t="s">
        <v>1356</v>
      </c>
    </row>
    <row r="168" spans="1:14" ht="15" customHeight="1">
      <c r="A168" s="54" t="s">
        <v>495</v>
      </c>
      <c r="B168" s="39" t="s">
        <v>496</v>
      </c>
      <c r="C168" s="46">
        <v>13</v>
      </c>
      <c r="D168" s="39" t="s">
        <v>1567</v>
      </c>
      <c r="E168" s="39" t="s">
        <v>1301</v>
      </c>
      <c r="F168" s="39" t="s">
        <v>42</v>
      </c>
      <c r="G168" s="39" t="s">
        <v>42</v>
      </c>
      <c r="H168" s="39" t="s">
        <v>1554</v>
      </c>
      <c r="I168" s="39" t="s">
        <v>42</v>
      </c>
      <c r="J168" s="39" t="s">
        <v>42</v>
      </c>
      <c r="K168" s="39" t="s">
        <v>42</v>
      </c>
      <c r="L168" s="39" t="s">
        <v>42</v>
      </c>
      <c r="M168" s="39" t="s">
        <v>1555</v>
      </c>
      <c r="N168" s="46" t="s">
        <v>1356</v>
      </c>
    </row>
    <row r="169" spans="1:14" ht="15" customHeight="1">
      <c r="A169" s="54" t="s">
        <v>495</v>
      </c>
      <c r="B169" s="39" t="s">
        <v>496</v>
      </c>
      <c r="C169" s="46">
        <v>14</v>
      </c>
      <c r="D169" s="39" t="s">
        <v>1568</v>
      </c>
      <c r="E169" s="39" t="s">
        <v>1301</v>
      </c>
      <c r="F169" s="39" t="s">
        <v>42</v>
      </c>
      <c r="G169" s="39" t="s">
        <v>42</v>
      </c>
      <c r="H169" s="39" t="s">
        <v>1554</v>
      </c>
      <c r="I169" s="39" t="s">
        <v>42</v>
      </c>
      <c r="J169" s="39" t="s">
        <v>42</v>
      </c>
      <c r="K169" s="39" t="s">
        <v>42</v>
      </c>
      <c r="L169" s="39" t="s">
        <v>42</v>
      </c>
      <c r="M169" s="39" t="s">
        <v>1555</v>
      </c>
      <c r="N169" s="46" t="s">
        <v>1356</v>
      </c>
    </row>
    <row r="170" spans="1:14" ht="15" customHeight="1">
      <c r="A170" s="54" t="s">
        <v>495</v>
      </c>
      <c r="B170" s="39" t="s">
        <v>496</v>
      </c>
      <c r="C170" s="46">
        <v>15</v>
      </c>
      <c r="D170" s="39" t="s">
        <v>1569</v>
      </c>
      <c r="E170" s="39" t="s">
        <v>1301</v>
      </c>
      <c r="F170" s="39" t="s">
        <v>42</v>
      </c>
      <c r="G170" s="39" t="s">
        <v>42</v>
      </c>
      <c r="H170" s="39" t="s">
        <v>1554</v>
      </c>
      <c r="I170" s="39" t="s">
        <v>42</v>
      </c>
      <c r="J170" s="39" t="s">
        <v>42</v>
      </c>
      <c r="K170" s="39" t="s">
        <v>42</v>
      </c>
      <c r="L170" s="39" t="s">
        <v>42</v>
      </c>
      <c r="M170" s="39" t="s">
        <v>1555</v>
      </c>
      <c r="N170" s="46" t="s">
        <v>1570</v>
      </c>
    </row>
    <row r="171" spans="1:14" ht="15" customHeight="1">
      <c r="A171" s="54" t="s">
        <v>495</v>
      </c>
      <c r="B171" s="39" t="s">
        <v>496</v>
      </c>
      <c r="C171" s="46">
        <v>16</v>
      </c>
      <c r="D171" s="39" t="s">
        <v>1571</v>
      </c>
      <c r="E171" s="39" t="s">
        <v>1301</v>
      </c>
      <c r="F171" s="39" t="s">
        <v>42</v>
      </c>
      <c r="G171" s="39" t="s">
        <v>42</v>
      </c>
      <c r="H171" s="39" t="s">
        <v>1554</v>
      </c>
      <c r="I171" s="39" t="s">
        <v>42</v>
      </c>
      <c r="J171" s="39" t="s">
        <v>42</v>
      </c>
      <c r="K171" s="39" t="s">
        <v>42</v>
      </c>
      <c r="L171" s="39" t="s">
        <v>42</v>
      </c>
      <c r="M171" s="39" t="s">
        <v>1555</v>
      </c>
      <c r="N171" s="46" t="s">
        <v>1570</v>
      </c>
    </row>
    <row r="172" spans="1:14" ht="15" customHeight="1">
      <c r="A172" s="54" t="s">
        <v>495</v>
      </c>
      <c r="B172" s="39" t="s">
        <v>496</v>
      </c>
      <c r="C172" s="46">
        <v>17</v>
      </c>
      <c r="D172" s="39" t="s">
        <v>1572</v>
      </c>
      <c r="E172" s="39" t="s">
        <v>1301</v>
      </c>
      <c r="F172" s="39" t="s">
        <v>42</v>
      </c>
      <c r="G172" s="39" t="s">
        <v>42</v>
      </c>
      <c r="H172" s="39" t="s">
        <v>1554</v>
      </c>
      <c r="I172" s="39" t="s">
        <v>42</v>
      </c>
      <c r="J172" s="39" t="s">
        <v>42</v>
      </c>
      <c r="K172" s="39" t="s">
        <v>42</v>
      </c>
      <c r="L172" s="39" t="s">
        <v>42</v>
      </c>
      <c r="M172" s="39" t="s">
        <v>1555</v>
      </c>
      <c r="N172" s="46" t="s">
        <v>1570</v>
      </c>
    </row>
    <row r="173" spans="1:14" ht="15" customHeight="1">
      <c r="A173" s="54" t="s">
        <v>495</v>
      </c>
      <c r="B173" s="39" t="s">
        <v>496</v>
      </c>
      <c r="C173" s="46">
        <v>18</v>
      </c>
      <c r="D173" s="39" t="s">
        <v>1573</v>
      </c>
      <c r="E173" s="39" t="s">
        <v>1301</v>
      </c>
      <c r="F173" s="39" t="s">
        <v>42</v>
      </c>
      <c r="G173" s="39" t="s">
        <v>42</v>
      </c>
      <c r="H173" s="39" t="s">
        <v>1554</v>
      </c>
      <c r="I173" s="39" t="s">
        <v>42</v>
      </c>
      <c r="J173" s="39" t="s">
        <v>42</v>
      </c>
      <c r="K173" s="39" t="s">
        <v>42</v>
      </c>
      <c r="L173" s="39" t="s">
        <v>42</v>
      </c>
      <c r="M173" s="39" t="s">
        <v>1555</v>
      </c>
      <c r="N173" s="46" t="s">
        <v>1570</v>
      </c>
    </row>
    <row r="174" spans="1:14" ht="15" customHeight="1">
      <c r="A174" s="54" t="s">
        <v>495</v>
      </c>
      <c r="B174" s="39" t="s">
        <v>496</v>
      </c>
      <c r="C174" s="46">
        <v>19</v>
      </c>
      <c r="D174" s="39" t="s">
        <v>1574</v>
      </c>
      <c r="E174" s="39" t="s">
        <v>1301</v>
      </c>
      <c r="F174" s="39" t="s">
        <v>42</v>
      </c>
      <c r="G174" s="39" t="s">
        <v>42</v>
      </c>
      <c r="H174" s="39" t="s">
        <v>1554</v>
      </c>
      <c r="I174" s="39" t="s">
        <v>42</v>
      </c>
      <c r="J174" s="39" t="s">
        <v>42</v>
      </c>
      <c r="K174" s="39" t="s">
        <v>42</v>
      </c>
      <c r="L174" s="39" t="s">
        <v>42</v>
      </c>
      <c r="M174" s="39" t="s">
        <v>1555</v>
      </c>
      <c r="N174" s="46" t="s">
        <v>1570</v>
      </c>
    </row>
    <row r="175" spans="1:14" ht="15" customHeight="1">
      <c r="A175" s="54" t="s">
        <v>495</v>
      </c>
      <c r="B175" s="39" t="s">
        <v>496</v>
      </c>
      <c r="C175" s="46">
        <v>20</v>
      </c>
      <c r="D175" s="39" t="s">
        <v>1575</v>
      </c>
      <c r="E175" s="39" t="s">
        <v>1301</v>
      </c>
      <c r="F175" s="39" t="s">
        <v>42</v>
      </c>
      <c r="G175" s="39" t="s">
        <v>42</v>
      </c>
      <c r="H175" s="39" t="s">
        <v>1554</v>
      </c>
      <c r="I175" s="39" t="s">
        <v>42</v>
      </c>
      <c r="J175" s="39" t="s">
        <v>42</v>
      </c>
      <c r="K175" s="39" t="s">
        <v>42</v>
      </c>
      <c r="L175" s="39" t="s">
        <v>42</v>
      </c>
      <c r="M175" s="39" t="s">
        <v>1555</v>
      </c>
      <c r="N175" s="46" t="s">
        <v>1570</v>
      </c>
    </row>
    <row r="176" spans="1:14" s="9" customFormat="1" ht="15" customHeight="1">
      <c r="A176" s="55" t="s">
        <v>495</v>
      </c>
      <c r="B176" s="40" t="s">
        <v>496</v>
      </c>
      <c r="C176" s="47">
        <v>21</v>
      </c>
      <c r="D176" s="40" t="s">
        <v>1576</v>
      </c>
      <c r="E176" s="40" t="s">
        <v>1301</v>
      </c>
      <c r="F176" s="40" t="s">
        <v>42</v>
      </c>
      <c r="G176" s="40" t="s">
        <v>42</v>
      </c>
      <c r="H176" s="40" t="s">
        <v>1554</v>
      </c>
      <c r="I176" s="40" t="s">
        <v>42</v>
      </c>
      <c r="J176" s="40" t="s">
        <v>42</v>
      </c>
      <c r="K176" s="40" t="s">
        <v>42</v>
      </c>
      <c r="L176" s="40" t="s">
        <v>42</v>
      </c>
      <c r="M176" s="40" t="s">
        <v>1555</v>
      </c>
      <c r="N176" s="47" t="s">
        <v>1570</v>
      </c>
    </row>
    <row r="177" spans="1:14" ht="15" customHeight="1">
      <c r="A177" s="39" t="s">
        <v>500</v>
      </c>
      <c r="B177" s="39" t="s">
        <v>501</v>
      </c>
      <c r="C177" s="56">
        <v>1</v>
      </c>
      <c r="D177" s="39" t="s">
        <v>1577</v>
      </c>
      <c r="E177" s="39" t="s">
        <v>1301</v>
      </c>
      <c r="F177" s="39">
        <f>2010-1997</f>
        <v>13</v>
      </c>
      <c r="G177" s="39" t="s">
        <v>1578</v>
      </c>
      <c r="H177" s="39" t="s">
        <v>1579</v>
      </c>
      <c r="I177" s="39" t="s">
        <v>42</v>
      </c>
      <c r="J177" s="39" t="s">
        <v>42</v>
      </c>
      <c r="K177" s="39" t="s">
        <v>42</v>
      </c>
      <c r="L177" s="39" t="s">
        <v>42</v>
      </c>
      <c r="M177" s="39" t="s">
        <v>519</v>
      </c>
      <c r="N177" s="39" t="s">
        <v>42</v>
      </c>
    </row>
    <row r="178" spans="1:14" s="9" customFormat="1" ht="15" customHeight="1">
      <c r="A178" s="40" t="s">
        <v>500</v>
      </c>
      <c r="B178" s="40" t="s">
        <v>501</v>
      </c>
      <c r="C178" s="52">
        <v>2</v>
      </c>
      <c r="D178" s="40" t="s">
        <v>1580</v>
      </c>
      <c r="E178" s="40" t="s">
        <v>1301</v>
      </c>
      <c r="F178" s="40">
        <f>2010-2002</f>
        <v>8</v>
      </c>
      <c r="G178" s="40" t="s">
        <v>1581</v>
      </c>
      <c r="H178" s="39" t="s">
        <v>1579</v>
      </c>
      <c r="I178" s="40" t="s">
        <v>42</v>
      </c>
      <c r="J178" s="40" t="s">
        <v>42</v>
      </c>
      <c r="K178" s="40" t="s">
        <v>42</v>
      </c>
      <c r="L178" s="40" t="s">
        <v>42</v>
      </c>
      <c r="M178" s="40" t="s">
        <v>519</v>
      </c>
      <c r="N178" s="40" t="s">
        <v>42</v>
      </c>
    </row>
    <row r="179" spans="1:14" ht="15" customHeight="1">
      <c r="A179" s="39" t="s">
        <v>517</v>
      </c>
      <c r="B179" s="39" t="s">
        <v>518</v>
      </c>
      <c r="C179" s="46">
        <v>1</v>
      </c>
      <c r="D179" s="39" t="s">
        <v>1582</v>
      </c>
      <c r="E179" s="39" t="s">
        <v>1381</v>
      </c>
      <c r="F179" s="39" t="s">
        <v>42</v>
      </c>
      <c r="G179" s="39" t="s">
        <v>42</v>
      </c>
      <c r="H179" s="39" t="s">
        <v>1583</v>
      </c>
      <c r="I179" s="39" t="s">
        <v>1584</v>
      </c>
      <c r="J179" s="39" t="s">
        <v>1585</v>
      </c>
      <c r="K179" s="39" t="s">
        <v>42</v>
      </c>
      <c r="L179" s="39" t="s">
        <v>42</v>
      </c>
      <c r="M179" s="39" t="s">
        <v>1586</v>
      </c>
      <c r="N179" s="46" t="s">
        <v>42</v>
      </c>
    </row>
    <row r="180" spans="1:14" s="9" customFormat="1" ht="15" customHeight="1">
      <c r="A180" s="40" t="s">
        <v>517</v>
      </c>
      <c r="B180" s="40" t="s">
        <v>518</v>
      </c>
      <c r="C180" s="47">
        <v>2</v>
      </c>
      <c r="D180" s="40" t="s">
        <v>1587</v>
      </c>
      <c r="E180" s="40" t="s">
        <v>1381</v>
      </c>
      <c r="F180" s="40">
        <f>2009-1990</f>
        <v>19</v>
      </c>
      <c r="G180" s="40" t="s">
        <v>42</v>
      </c>
      <c r="H180" s="40" t="s">
        <v>1588</v>
      </c>
      <c r="I180" s="40" t="s">
        <v>1589</v>
      </c>
      <c r="J180" s="40" t="s">
        <v>1590</v>
      </c>
      <c r="K180" s="40" t="s">
        <v>1591</v>
      </c>
      <c r="L180" s="40" t="s">
        <v>42</v>
      </c>
      <c r="M180" s="40" t="s">
        <v>1586</v>
      </c>
      <c r="N180" s="47" t="s">
        <v>42</v>
      </c>
    </row>
    <row r="181" spans="1:14" ht="15" customHeight="1">
      <c r="A181" s="39" t="s">
        <v>534</v>
      </c>
      <c r="B181" s="39" t="s">
        <v>535</v>
      </c>
      <c r="C181" s="46">
        <v>1</v>
      </c>
      <c r="D181" s="39" t="s">
        <v>1300</v>
      </c>
      <c r="E181" s="39" t="s">
        <v>1301</v>
      </c>
      <c r="F181" s="39" t="s">
        <v>42</v>
      </c>
      <c r="G181" s="39" t="s">
        <v>42</v>
      </c>
      <c r="H181" s="39" t="s">
        <v>1445</v>
      </c>
      <c r="I181" s="39" t="s">
        <v>1446</v>
      </c>
      <c r="J181" s="39" t="s">
        <v>42</v>
      </c>
      <c r="K181" s="39" t="s">
        <v>42</v>
      </c>
      <c r="L181" s="39" t="s">
        <v>42</v>
      </c>
      <c r="M181" s="39" t="s">
        <v>42</v>
      </c>
      <c r="N181" s="39" t="s">
        <v>1447</v>
      </c>
    </row>
    <row r="182" spans="1:14" ht="15" customHeight="1">
      <c r="A182" s="39" t="s">
        <v>534</v>
      </c>
      <c r="B182" s="39" t="s">
        <v>535</v>
      </c>
      <c r="C182" s="46">
        <v>2</v>
      </c>
      <c r="D182" s="39" t="s">
        <v>1300</v>
      </c>
      <c r="E182" s="39" t="s">
        <v>1301</v>
      </c>
      <c r="F182" s="39" t="s">
        <v>42</v>
      </c>
      <c r="G182" s="39" t="s">
        <v>42</v>
      </c>
      <c r="H182" s="39" t="s">
        <v>1592</v>
      </c>
      <c r="I182" s="39" t="s">
        <v>1449</v>
      </c>
      <c r="J182" s="39" t="s">
        <v>42</v>
      </c>
      <c r="K182" s="39" t="s">
        <v>42</v>
      </c>
      <c r="L182" s="39" t="s">
        <v>42</v>
      </c>
      <c r="M182" s="39" t="s">
        <v>42</v>
      </c>
      <c r="N182" s="39" t="s">
        <v>1447</v>
      </c>
    </row>
    <row r="183" spans="1:14" s="9" customFormat="1" ht="15" customHeight="1">
      <c r="A183" s="40" t="s">
        <v>534</v>
      </c>
      <c r="B183" s="40" t="s">
        <v>535</v>
      </c>
      <c r="C183" s="47">
        <v>3</v>
      </c>
      <c r="D183" s="40" t="s">
        <v>1300</v>
      </c>
      <c r="E183" s="40" t="s">
        <v>1301</v>
      </c>
      <c r="F183" s="40" t="s">
        <v>42</v>
      </c>
      <c r="G183" s="40" t="s">
        <v>42</v>
      </c>
      <c r="H183" s="40" t="s">
        <v>1450</v>
      </c>
      <c r="I183" s="40" t="s">
        <v>1451</v>
      </c>
      <c r="J183" s="40" t="s">
        <v>42</v>
      </c>
      <c r="K183" s="40" t="s">
        <v>42</v>
      </c>
      <c r="L183" s="40" t="s">
        <v>42</v>
      </c>
      <c r="M183" s="40" t="s">
        <v>42</v>
      </c>
      <c r="N183" s="40" t="s">
        <v>1447</v>
      </c>
    </row>
    <row r="184" spans="1:14" ht="15" customHeight="1">
      <c r="A184" s="39" t="s">
        <v>545</v>
      </c>
      <c r="B184" s="39" t="s">
        <v>546</v>
      </c>
      <c r="C184" s="46">
        <v>1</v>
      </c>
      <c r="D184" s="39" t="s">
        <v>1593</v>
      </c>
      <c r="E184" s="39" t="s">
        <v>1381</v>
      </c>
      <c r="F184" s="39" t="s">
        <v>42</v>
      </c>
      <c r="G184" s="39" t="s">
        <v>42</v>
      </c>
      <c r="H184" s="39" t="s">
        <v>1594</v>
      </c>
      <c r="I184" s="39" t="s">
        <v>42</v>
      </c>
      <c r="J184" s="39" t="s">
        <v>42</v>
      </c>
      <c r="K184" s="39" t="s">
        <v>42</v>
      </c>
      <c r="L184" s="39" t="s">
        <v>42</v>
      </c>
      <c r="M184" s="39" t="s">
        <v>42</v>
      </c>
      <c r="N184" s="39" t="s">
        <v>42</v>
      </c>
    </row>
    <row r="185" spans="1:14" ht="15" customHeight="1">
      <c r="A185" s="39" t="s">
        <v>545</v>
      </c>
      <c r="B185" s="39" t="s">
        <v>546</v>
      </c>
      <c r="C185" s="46">
        <v>2</v>
      </c>
      <c r="D185" s="39" t="s">
        <v>1317</v>
      </c>
      <c r="E185" s="39" t="s">
        <v>1381</v>
      </c>
      <c r="F185" s="39" t="s">
        <v>42</v>
      </c>
      <c r="G185" s="39" t="s">
        <v>42</v>
      </c>
      <c r="H185" s="39" t="s">
        <v>1594</v>
      </c>
      <c r="I185" s="39" t="s">
        <v>42</v>
      </c>
      <c r="J185" s="39" t="s">
        <v>42</v>
      </c>
      <c r="K185" s="39" t="s">
        <v>42</v>
      </c>
      <c r="L185" s="39" t="s">
        <v>42</v>
      </c>
      <c r="M185" s="39" t="s">
        <v>42</v>
      </c>
      <c r="N185" s="39" t="s">
        <v>42</v>
      </c>
    </row>
    <row r="186" spans="1:14" ht="15" customHeight="1">
      <c r="A186" s="39" t="s">
        <v>545</v>
      </c>
      <c r="B186" s="39" t="s">
        <v>546</v>
      </c>
      <c r="C186" s="46">
        <v>3</v>
      </c>
      <c r="D186" s="39" t="s">
        <v>1472</v>
      </c>
      <c r="E186" s="39" t="s">
        <v>1381</v>
      </c>
      <c r="F186" s="39" t="s">
        <v>42</v>
      </c>
      <c r="G186" s="39" t="s">
        <v>42</v>
      </c>
      <c r="H186" s="39" t="s">
        <v>1594</v>
      </c>
      <c r="I186" s="39" t="s">
        <v>42</v>
      </c>
      <c r="J186" s="39" t="s">
        <v>42</v>
      </c>
      <c r="K186" s="39" t="s">
        <v>42</v>
      </c>
      <c r="L186" s="39" t="s">
        <v>42</v>
      </c>
      <c r="M186" s="39" t="s">
        <v>42</v>
      </c>
      <c r="N186" s="39" t="s">
        <v>42</v>
      </c>
    </row>
    <row r="187" spans="1:14" ht="15" customHeight="1">
      <c r="A187" s="39" t="s">
        <v>545</v>
      </c>
      <c r="B187" s="39" t="s">
        <v>546</v>
      </c>
      <c r="C187" s="46">
        <v>4</v>
      </c>
      <c r="D187" s="39" t="s">
        <v>1595</v>
      </c>
      <c r="E187" s="39" t="s">
        <v>1381</v>
      </c>
      <c r="F187" s="39" t="s">
        <v>42</v>
      </c>
      <c r="G187" s="39" t="s">
        <v>42</v>
      </c>
      <c r="H187" s="39" t="s">
        <v>1594</v>
      </c>
      <c r="I187" s="39" t="s">
        <v>42</v>
      </c>
      <c r="J187" s="39" t="s">
        <v>42</v>
      </c>
      <c r="K187" s="39" t="s">
        <v>42</v>
      </c>
      <c r="L187" s="39" t="s">
        <v>42</v>
      </c>
      <c r="M187" s="39" t="s">
        <v>42</v>
      </c>
      <c r="N187" s="39" t="s">
        <v>42</v>
      </c>
    </row>
    <row r="188" spans="1:14" ht="15" customHeight="1">
      <c r="A188" s="39" t="s">
        <v>545</v>
      </c>
      <c r="B188" s="39" t="s">
        <v>546</v>
      </c>
      <c r="C188" s="46">
        <v>5</v>
      </c>
      <c r="D188" s="39" t="s">
        <v>1596</v>
      </c>
      <c r="E188" s="39" t="s">
        <v>1381</v>
      </c>
      <c r="F188" s="39" t="s">
        <v>42</v>
      </c>
      <c r="G188" s="39" t="s">
        <v>42</v>
      </c>
      <c r="H188" s="39" t="s">
        <v>1594</v>
      </c>
      <c r="I188" s="39" t="s">
        <v>42</v>
      </c>
      <c r="J188" s="39" t="s">
        <v>42</v>
      </c>
      <c r="K188" s="39" t="s">
        <v>42</v>
      </c>
      <c r="L188" s="39" t="s">
        <v>42</v>
      </c>
      <c r="M188" s="39" t="s">
        <v>42</v>
      </c>
      <c r="N188" s="39" t="s">
        <v>42</v>
      </c>
    </row>
    <row r="189" spans="1:14" ht="15" customHeight="1">
      <c r="A189" s="39" t="s">
        <v>545</v>
      </c>
      <c r="B189" s="39" t="s">
        <v>546</v>
      </c>
      <c r="C189" s="46">
        <v>6</v>
      </c>
      <c r="D189" s="39" t="s">
        <v>1417</v>
      </c>
      <c r="E189" s="39" t="s">
        <v>1381</v>
      </c>
      <c r="F189" s="39" t="s">
        <v>42</v>
      </c>
      <c r="G189" s="39" t="s">
        <v>42</v>
      </c>
      <c r="H189" s="39" t="s">
        <v>1597</v>
      </c>
      <c r="I189" s="39" t="s">
        <v>42</v>
      </c>
      <c r="J189" s="39" t="s">
        <v>42</v>
      </c>
      <c r="K189" s="39" t="s">
        <v>42</v>
      </c>
      <c r="L189" s="39" t="s">
        <v>42</v>
      </c>
      <c r="M189" s="39" t="s">
        <v>42</v>
      </c>
      <c r="N189" s="39" t="s">
        <v>42</v>
      </c>
    </row>
    <row r="190" spans="1:14" ht="15" customHeight="1">
      <c r="A190" s="39" t="s">
        <v>545</v>
      </c>
      <c r="B190" s="39" t="s">
        <v>546</v>
      </c>
      <c r="C190" s="46">
        <v>7</v>
      </c>
      <c r="D190" s="39" t="s">
        <v>1598</v>
      </c>
      <c r="E190" s="39" t="s">
        <v>1381</v>
      </c>
      <c r="F190" s="39" t="s">
        <v>42</v>
      </c>
      <c r="G190" s="39" t="s">
        <v>42</v>
      </c>
      <c r="H190" s="39" t="s">
        <v>1597</v>
      </c>
      <c r="I190" s="39" t="s">
        <v>42</v>
      </c>
      <c r="J190" s="39" t="s">
        <v>42</v>
      </c>
      <c r="K190" s="39" t="s">
        <v>42</v>
      </c>
      <c r="L190" s="39" t="s">
        <v>42</v>
      </c>
      <c r="M190" s="39" t="s">
        <v>42</v>
      </c>
      <c r="N190" s="39" t="s">
        <v>42</v>
      </c>
    </row>
    <row r="191" spans="1:14" ht="15" customHeight="1">
      <c r="A191" s="39" t="s">
        <v>545</v>
      </c>
      <c r="B191" s="39" t="s">
        <v>546</v>
      </c>
      <c r="C191" s="46">
        <v>8</v>
      </c>
      <c r="D191" s="39" t="s">
        <v>1599</v>
      </c>
      <c r="E191" s="39" t="s">
        <v>1381</v>
      </c>
      <c r="F191" s="39" t="s">
        <v>42</v>
      </c>
      <c r="G191" s="39" t="s">
        <v>42</v>
      </c>
      <c r="H191" s="39" t="s">
        <v>1597</v>
      </c>
      <c r="I191" s="39" t="s">
        <v>42</v>
      </c>
      <c r="J191" s="39" t="s">
        <v>42</v>
      </c>
      <c r="K191" s="39" t="s">
        <v>42</v>
      </c>
      <c r="L191" s="39" t="s">
        <v>42</v>
      </c>
      <c r="M191" s="39" t="s">
        <v>42</v>
      </c>
      <c r="N191" s="39" t="s">
        <v>42</v>
      </c>
    </row>
    <row r="192" spans="1:14" ht="15" customHeight="1">
      <c r="A192" s="39" t="s">
        <v>545</v>
      </c>
      <c r="B192" s="39" t="s">
        <v>546</v>
      </c>
      <c r="C192" s="46">
        <v>9</v>
      </c>
      <c r="D192" s="39" t="s">
        <v>1600</v>
      </c>
      <c r="E192" s="39" t="s">
        <v>1381</v>
      </c>
      <c r="F192" s="39" t="s">
        <v>42</v>
      </c>
      <c r="G192" s="39" t="s">
        <v>42</v>
      </c>
      <c r="H192" s="39" t="s">
        <v>1597</v>
      </c>
      <c r="I192" s="39" t="s">
        <v>42</v>
      </c>
      <c r="J192" s="39" t="s">
        <v>42</v>
      </c>
      <c r="K192" s="39" t="s">
        <v>42</v>
      </c>
      <c r="L192" s="39" t="s">
        <v>42</v>
      </c>
      <c r="M192" s="39" t="s">
        <v>42</v>
      </c>
      <c r="N192" s="39" t="s">
        <v>42</v>
      </c>
    </row>
    <row r="193" spans="1:14" ht="15" customHeight="1">
      <c r="A193" s="39" t="s">
        <v>545</v>
      </c>
      <c r="B193" s="39" t="s">
        <v>546</v>
      </c>
      <c r="C193" s="46">
        <v>10</v>
      </c>
      <c r="D193" s="39" t="s">
        <v>1601</v>
      </c>
      <c r="E193" s="39" t="s">
        <v>1381</v>
      </c>
      <c r="F193" s="39" t="s">
        <v>42</v>
      </c>
      <c r="G193" s="39" t="s">
        <v>42</v>
      </c>
      <c r="H193" s="39" t="s">
        <v>1597</v>
      </c>
      <c r="I193" s="39" t="s">
        <v>42</v>
      </c>
      <c r="J193" s="39" t="s">
        <v>42</v>
      </c>
      <c r="K193" s="39" t="s">
        <v>42</v>
      </c>
      <c r="L193" s="39" t="s">
        <v>42</v>
      </c>
      <c r="M193" s="39" t="s">
        <v>42</v>
      </c>
      <c r="N193" s="39" t="s">
        <v>42</v>
      </c>
    </row>
    <row r="194" spans="1:14" ht="15" customHeight="1">
      <c r="A194" s="39" t="s">
        <v>545</v>
      </c>
      <c r="B194" s="39" t="s">
        <v>546</v>
      </c>
      <c r="C194" s="46">
        <v>11</v>
      </c>
      <c r="D194" s="39" t="s">
        <v>1602</v>
      </c>
      <c r="E194" s="39" t="s">
        <v>1381</v>
      </c>
      <c r="F194" s="39" t="s">
        <v>42</v>
      </c>
      <c r="G194" s="39" t="s">
        <v>42</v>
      </c>
      <c r="H194" s="39" t="s">
        <v>1597</v>
      </c>
      <c r="I194" s="39" t="s">
        <v>42</v>
      </c>
      <c r="J194" s="39" t="s">
        <v>42</v>
      </c>
      <c r="K194" s="39" t="s">
        <v>42</v>
      </c>
      <c r="L194" s="39" t="s">
        <v>42</v>
      </c>
      <c r="M194" s="39" t="s">
        <v>42</v>
      </c>
      <c r="N194" s="39" t="s">
        <v>42</v>
      </c>
    </row>
    <row r="195" spans="1:14" ht="15" customHeight="1">
      <c r="A195" s="39" t="s">
        <v>545</v>
      </c>
      <c r="B195" s="39" t="s">
        <v>546</v>
      </c>
      <c r="C195" s="46">
        <v>12</v>
      </c>
      <c r="D195" s="39" t="s">
        <v>1603</v>
      </c>
      <c r="E195" s="39" t="s">
        <v>1381</v>
      </c>
      <c r="F195" s="39" t="s">
        <v>42</v>
      </c>
      <c r="G195" s="39" t="s">
        <v>42</v>
      </c>
      <c r="H195" s="39" t="s">
        <v>1597</v>
      </c>
      <c r="I195" s="39" t="s">
        <v>42</v>
      </c>
      <c r="J195" s="39" t="s">
        <v>42</v>
      </c>
      <c r="K195" s="39" t="s">
        <v>42</v>
      </c>
      <c r="L195" s="39" t="s">
        <v>42</v>
      </c>
      <c r="M195" s="39" t="s">
        <v>42</v>
      </c>
      <c r="N195" s="39" t="s">
        <v>42</v>
      </c>
    </row>
    <row r="196" spans="1:14" ht="15" customHeight="1">
      <c r="A196" s="39" t="s">
        <v>545</v>
      </c>
      <c r="B196" s="39" t="s">
        <v>546</v>
      </c>
      <c r="C196" s="46">
        <v>13</v>
      </c>
      <c r="D196" s="39" t="s">
        <v>1604</v>
      </c>
      <c r="E196" s="39" t="s">
        <v>1381</v>
      </c>
      <c r="F196" s="39" t="s">
        <v>42</v>
      </c>
      <c r="G196" s="39" t="s">
        <v>42</v>
      </c>
      <c r="H196" s="39" t="s">
        <v>1597</v>
      </c>
      <c r="I196" s="39" t="s">
        <v>42</v>
      </c>
      <c r="J196" s="39" t="s">
        <v>42</v>
      </c>
      <c r="K196" s="39" t="s">
        <v>42</v>
      </c>
      <c r="L196" s="39" t="s">
        <v>42</v>
      </c>
      <c r="M196" s="39" t="s">
        <v>42</v>
      </c>
      <c r="N196" s="39" t="s">
        <v>42</v>
      </c>
    </row>
    <row r="197" spans="1:14" ht="15" customHeight="1">
      <c r="A197" s="39" t="s">
        <v>545</v>
      </c>
      <c r="B197" s="39" t="s">
        <v>546</v>
      </c>
      <c r="C197" s="46">
        <v>14</v>
      </c>
      <c r="D197" s="39" t="s">
        <v>1605</v>
      </c>
      <c r="E197" s="39" t="s">
        <v>1381</v>
      </c>
      <c r="F197" s="39" t="s">
        <v>42</v>
      </c>
      <c r="G197" s="39" t="s">
        <v>42</v>
      </c>
      <c r="H197" s="39" t="s">
        <v>1597</v>
      </c>
      <c r="I197" s="39" t="s">
        <v>42</v>
      </c>
      <c r="J197" s="39" t="s">
        <v>42</v>
      </c>
      <c r="K197" s="39" t="s">
        <v>42</v>
      </c>
      <c r="L197" s="39" t="s">
        <v>42</v>
      </c>
      <c r="M197" s="39" t="s">
        <v>42</v>
      </c>
      <c r="N197" s="39" t="s">
        <v>42</v>
      </c>
    </row>
    <row r="198" spans="1:14" ht="15" customHeight="1">
      <c r="A198" s="39" t="s">
        <v>545</v>
      </c>
      <c r="B198" s="39" t="s">
        <v>546</v>
      </c>
      <c r="C198" s="46">
        <v>15</v>
      </c>
      <c r="D198" s="39" t="s">
        <v>1606</v>
      </c>
      <c r="E198" s="39" t="s">
        <v>1381</v>
      </c>
      <c r="F198" s="39" t="s">
        <v>42</v>
      </c>
      <c r="G198" s="39" t="s">
        <v>42</v>
      </c>
      <c r="H198" s="39" t="s">
        <v>1597</v>
      </c>
      <c r="I198" s="39" t="s">
        <v>42</v>
      </c>
      <c r="J198" s="39" t="s">
        <v>42</v>
      </c>
      <c r="K198" s="39" t="s">
        <v>42</v>
      </c>
      <c r="L198" s="39" t="s">
        <v>42</v>
      </c>
      <c r="M198" s="39" t="s">
        <v>42</v>
      </c>
      <c r="N198" s="39" t="s">
        <v>42</v>
      </c>
    </row>
    <row r="199" spans="1:14" ht="15" customHeight="1">
      <c r="A199" s="39" t="s">
        <v>545</v>
      </c>
      <c r="B199" s="39" t="s">
        <v>546</v>
      </c>
      <c r="C199" s="46">
        <v>16</v>
      </c>
      <c r="D199" s="39" t="s">
        <v>1607</v>
      </c>
      <c r="E199" s="39" t="s">
        <v>1381</v>
      </c>
      <c r="F199" s="39" t="s">
        <v>42</v>
      </c>
      <c r="G199" s="39" t="s">
        <v>42</v>
      </c>
      <c r="H199" s="39" t="s">
        <v>1597</v>
      </c>
      <c r="I199" s="39" t="s">
        <v>42</v>
      </c>
      <c r="J199" s="39" t="s">
        <v>42</v>
      </c>
      <c r="K199" s="39" t="s">
        <v>42</v>
      </c>
      <c r="L199" s="39" t="s">
        <v>42</v>
      </c>
      <c r="M199" s="39" t="s">
        <v>42</v>
      </c>
      <c r="N199" s="39" t="s">
        <v>42</v>
      </c>
    </row>
    <row r="200" spans="1:14" ht="15" customHeight="1">
      <c r="A200" s="39" t="s">
        <v>545</v>
      </c>
      <c r="B200" s="39" t="s">
        <v>546</v>
      </c>
      <c r="C200" s="46">
        <v>17</v>
      </c>
      <c r="D200" s="39" t="s">
        <v>1608</v>
      </c>
      <c r="E200" s="39" t="s">
        <v>1381</v>
      </c>
      <c r="F200" s="39" t="s">
        <v>42</v>
      </c>
      <c r="G200" s="39" t="s">
        <v>42</v>
      </c>
      <c r="H200" s="39" t="s">
        <v>1597</v>
      </c>
      <c r="I200" s="39" t="s">
        <v>42</v>
      </c>
      <c r="J200" s="39" t="s">
        <v>42</v>
      </c>
      <c r="K200" s="39" t="s">
        <v>42</v>
      </c>
      <c r="L200" s="39" t="s">
        <v>42</v>
      </c>
      <c r="M200" s="39" t="s">
        <v>42</v>
      </c>
      <c r="N200" s="39" t="s">
        <v>42</v>
      </c>
    </row>
    <row r="201" spans="1:14" ht="15" customHeight="1">
      <c r="A201" s="39" t="s">
        <v>545</v>
      </c>
      <c r="B201" s="39" t="s">
        <v>546</v>
      </c>
      <c r="C201" s="46">
        <v>18</v>
      </c>
      <c r="D201" s="39" t="s">
        <v>1609</v>
      </c>
      <c r="E201" s="39" t="s">
        <v>1381</v>
      </c>
      <c r="F201" s="39" t="s">
        <v>42</v>
      </c>
      <c r="G201" s="39" t="s">
        <v>42</v>
      </c>
      <c r="H201" s="39" t="s">
        <v>1597</v>
      </c>
      <c r="I201" s="39" t="s">
        <v>42</v>
      </c>
      <c r="J201" s="39" t="s">
        <v>42</v>
      </c>
      <c r="K201" s="39" t="s">
        <v>42</v>
      </c>
      <c r="L201" s="39" t="s">
        <v>42</v>
      </c>
      <c r="M201" s="39" t="s">
        <v>42</v>
      </c>
      <c r="N201" s="39" t="s">
        <v>42</v>
      </c>
    </row>
    <row r="202" spans="1:14" s="9" customFormat="1" ht="15" customHeight="1">
      <c r="A202" s="40" t="s">
        <v>545</v>
      </c>
      <c r="B202" s="40" t="s">
        <v>546</v>
      </c>
      <c r="C202" s="47">
        <v>19</v>
      </c>
      <c r="D202" s="40" t="s">
        <v>1610</v>
      </c>
      <c r="E202" s="40" t="s">
        <v>1381</v>
      </c>
      <c r="F202" s="40" t="s">
        <v>42</v>
      </c>
      <c r="G202" s="40" t="s">
        <v>42</v>
      </c>
      <c r="H202" s="40" t="s">
        <v>1597</v>
      </c>
      <c r="I202" s="40" t="s">
        <v>42</v>
      </c>
      <c r="J202" s="40" t="s">
        <v>42</v>
      </c>
      <c r="K202" s="40" t="s">
        <v>42</v>
      </c>
      <c r="L202" s="40" t="s">
        <v>42</v>
      </c>
      <c r="M202" s="40" t="s">
        <v>42</v>
      </c>
      <c r="N202" s="40" t="s">
        <v>42</v>
      </c>
    </row>
    <row r="203" spans="1:14" s="9" customFormat="1" ht="15" customHeight="1">
      <c r="A203" s="40" t="s">
        <v>550</v>
      </c>
      <c r="B203" s="40" t="s">
        <v>551</v>
      </c>
      <c r="C203" s="47">
        <v>1</v>
      </c>
      <c r="D203" s="40" t="s">
        <v>1611</v>
      </c>
      <c r="E203" s="40" t="s">
        <v>1339</v>
      </c>
      <c r="F203" s="40" t="s">
        <v>42</v>
      </c>
      <c r="G203" s="40" t="s">
        <v>42</v>
      </c>
      <c r="H203" s="40" t="s">
        <v>1611</v>
      </c>
      <c r="I203" s="40" t="s">
        <v>1612</v>
      </c>
      <c r="J203" s="50" t="s">
        <v>1613</v>
      </c>
      <c r="K203" s="40" t="s">
        <v>42</v>
      </c>
      <c r="L203" s="40" t="s">
        <v>42</v>
      </c>
      <c r="M203" s="40" t="s">
        <v>42</v>
      </c>
      <c r="N203" s="47" t="s">
        <v>1447</v>
      </c>
    </row>
    <row r="204" spans="1:14" ht="15" customHeight="1">
      <c r="A204" s="39" t="s">
        <v>560</v>
      </c>
      <c r="B204" s="39" t="s">
        <v>561</v>
      </c>
      <c r="C204" s="46">
        <v>1</v>
      </c>
      <c r="D204" s="39" t="s">
        <v>1614</v>
      </c>
      <c r="E204" s="39" t="s">
        <v>1301</v>
      </c>
      <c r="F204" s="39">
        <f>2014-1997</f>
        <v>17</v>
      </c>
      <c r="G204" s="39" t="s">
        <v>42</v>
      </c>
      <c r="H204" s="39" t="s">
        <v>1615</v>
      </c>
      <c r="I204" s="39" t="s">
        <v>1616</v>
      </c>
      <c r="J204" s="39" t="s">
        <v>42</v>
      </c>
      <c r="K204" s="39" t="s">
        <v>42</v>
      </c>
      <c r="L204" s="39" t="s">
        <v>42</v>
      </c>
      <c r="M204" s="39" t="s">
        <v>42</v>
      </c>
      <c r="N204" s="46" t="s">
        <v>1447</v>
      </c>
    </row>
    <row r="205" spans="1:14" ht="15" customHeight="1">
      <c r="A205" s="39" t="s">
        <v>560</v>
      </c>
      <c r="B205" s="39" t="s">
        <v>561</v>
      </c>
      <c r="C205" s="46">
        <v>2</v>
      </c>
      <c r="D205" s="39" t="s">
        <v>1617</v>
      </c>
      <c r="E205" s="39" t="s">
        <v>1301</v>
      </c>
      <c r="F205" s="39">
        <f>2014-1997</f>
        <v>17</v>
      </c>
      <c r="G205" s="39" t="s">
        <v>42</v>
      </c>
      <c r="H205" s="39" t="s">
        <v>1333</v>
      </c>
      <c r="I205" s="39" t="s">
        <v>1618</v>
      </c>
      <c r="J205" s="39" t="s">
        <v>42</v>
      </c>
      <c r="K205" s="39" t="s">
        <v>42</v>
      </c>
      <c r="L205" s="39" t="s">
        <v>42</v>
      </c>
      <c r="M205" s="39" t="s">
        <v>42</v>
      </c>
      <c r="N205" s="46" t="s">
        <v>1447</v>
      </c>
    </row>
    <row r="206" spans="1:14" ht="15" customHeight="1">
      <c r="A206" s="39" t="s">
        <v>560</v>
      </c>
      <c r="B206" s="39" t="s">
        <v>561</v>
      </c>
      <c r="C206" s="46">
        <v>3</v>
      </c>
      <c r="D206" s="39" t="s">
        <v>1619</v>
      </c>
      <c r="E206" s="39" t="s">
        <v>1301</v>
      </c>
      <c r="F206" s="39">
        <f>2014-1997</f>
        <v>17</v>
      </c>
      <c r="G206" s="39" t="s">
        <v>42</v>
      </c>
      <c r="H206" s="39" t="s">
        <v>1620</v>
      </c>
      <c r="I206" s="39" t="s">
        <v>1621</v>
      </c>
      <c r="J206" s="39" t="s">
        <v>42</v>
      </c>
      <c r="K206" s="39" t="s">
        <v>42</v>
      </c>
      <c r="L206" s="39" t="s">
        <v>42</v>
      </c>
      <c r="M206" s="39" t="s">
        <v>42</v>
      </c>
      <c r="N206" s="46" t="s">
        <v>1447</v>
      </c>
    </row>
    <row r="207" spans="1:14" s="9" customFormat="1" ht="15" customHeight="1">
      <c r="A207" s="40" t="s">
        <v>560</v>
      </c>
      <c r="B207" s="40" t="s">
        <v>561</v>
      </c>
      <c r="C207" s="47">
        <v>4</v>
      </c>
      <c r="D207" s="40" t="s">
        <v>1622</v>
      </c>
      <c r="E207" s="40" t="s">
        <v>1301</v>
      </c>
      <c r="F207" s="40">
        <f>2014-1999</f>
        <v>15</v>
      </c>
      <c r="G207" s="40" t="s">
        <v>42</v>
      </c>
      <c r="H207" s="40" t="s">
        <v>1338</v>
      </c>
      <c r="I207" s="40" t="s">
        <v>1618</v>
      </c>
      <c r="J207" s="40" t="s">
        <v>42</v>
      </c>
      <c r="K207" s="40" t="s">
        <v>42</v>
      </c>
      <c r="L207" s="40" t="s">
        <v>42</v>
      </c>
      <c r="M207" s="40" t="s">
        <v>42</v>
      </c>
      <c r="N207" s="47" t="s">
        <v>1447</v>
      </c>
    </row>
    <row r="208" spans="1:14" ht="15" customHeight="1">
      <c r="A208" s="39" t="s">
        <v>573</v>
      </c>
      <c r="B208" s="39" t="s">
        <v>574</v>
      </c>
      <c r="C208" s="56">
        <v>1</v>
      </c>
      <c r="D208" s="39" t="s">
        <v>1623</v>
      </c>
      <c r="E208" s="39" t="s">
        <v>1381</v>
      </c>
      <c r="F208" s="39" t="s">
        <v>42</v>
      </c>
      <c r="G208" s="39" t="s">
        <v>42</v>
      </c>
      <c r="H208" s="39" t="s">
        <v>1624</v>
      </c>
      <c r="I208" s="39" t="s">
        <v>1625</v>
      </c>
      <c r="J208" s="48" t="s">
        <v>1626</v>
      </c>
      <c r="K208" s="39" t="s">
        <v>42</v>
      </c>
      <c r="L208" s="39" t="s">
        <v>42</v>
      </c>
      <c r="M208" s="39" t="s">
        <v>42</v>
      </c>
      <c r="N208" s="46" t="s">
        <v>1447</v>
      </c>
    </row>
    <row r="209" spans="1:14" ht="15" customHeight="1">
      <c r="A209" s="39" t="s">
        <v>573</v>
      </c>
      <c r="B209" s="39" t="s">
        <v>574</v>
      </c>
      <c r="C209" s="56">
        <v>2</v>
      </c>
      <c r="D209" s="39" t="s">
        <v>1627</v>
      </c>
      <c r="E209" s="39" t="s">
        <v>1381</v>
      </c>
      <c r="F209" s="39" t="s">
        <v>42</v>
      </c>
      <c r="G209" s="39" t="s">
        <v>42</v>
      </c>
      <c r="H209" s="39" t="s">
        <v>1624</v>
      </c>
      <c r="I209" s="39" t="s">
        <v>1625</v>
      </c>
      <c r="J209" s="48" t="s">
        <v>1626</v>
      </c>
      <c r="K209" s="39" t="s">
        <v>42</v>
      </c>
      <c r="L209" s="39" t="s">
        <v>42</v>
      </c>
      <c r="M209" s="39" t="s">
        <v>42</v>
      </c>
      <c r="N209" s="46" t="s">
        <v>1447</v>
      </c>
    </row>
    <row r="210" spans="1:14" s="9" customFormat="1" ht="15" customHeight="1">
      <c r="A210" s="40" t="s">
        <v>573</v>
      </c>
      <c r="B210" s="40" t="s">
        <v>574</v>
      </c>
      <c r="C210" s="52">
        <v>3</v>
      </c>
      <c r="D210" s="40" t="s">
        <v>1628</v>
      </c>
      <c r="E210" s="40" t="s">
        <v>1381</v>
      </c>
      <c r="F210" s="40" t="s">
        <v>42</v>
      </c>
      <c r="G210" s="40" t="s">
        <v>42</v>
      </c>
      <c r="H210" s="40" t="s">
        <v>1628</v>
      </c>
      <c r="I210" s="40" t="s">
        <v>1629</v>
      </c>
      <c r="J210" s="40" t="s">
        <v>1626</v>
      </c>
      <c r="K210" s="40" t="s">
        <v>42</v>
      </c>
      <c r="L210" s="40" t="s">
        <v>42</v>
      </c>
      <c r="M210" s="40" t="s">
        <v>42</v>
      </c>
      <c r="N210" s="47" t="s">
        <v>1447</v>
      </c>
    </row>
    <row r="211" spans="1:14" s="9" customFormat="1" ht="15" customHeight="1">
      <c r="A211" s="40" t="s">
        <v>584</v>
      </c>
      <c r="B211" s="40" t="s">
        <v>585</v>
      </c>
      <c r="C211" s="47">
        <v>1</v>
      </c>
      <c r="D211" s="40" t="s">
        <v>1630</v>
      </c>
      <c r="E211" s="40" t="s">
        <v>1301</v>
      </c>
      <c r="F211" s="40" t="s">
        <v>42</v>
      </c>
      <c r="G211" s="40" t="s">
        <v>42</v>
      </c>
      <c r="H211" s="40" t="s">
        <v>1631</v>
      </c>
      <c r="I211" s="40" t="s">
        <v>1632</v>
      </c>
      <c r="J211" s="40" t="s">
        <v>1633</v>
      </c>
      <c r="K211" s="40" t="s">
        <v>42</v>
      </c>
      <c r="L211" s="40" t="s">
        <v>42</v>
      </c>
      <c r="M211" s="40" t="s">
        <v>1634</v>
      </c>
      <c r="N211" s="47" t="s">
        <v>42</v>
      </c>
    </row>
    <row r="212" spans="1:14" s="9" customFormat="1" ht="15" customHeight="1">
      <c r="A212" s="40" t="s">
        <v>589</v>
      </c>
      <c r="B212" s="40" t="s">
        <v>590</v>
      </c>
      <c r="C212" s="47">
        <v>1</v>
      </c>
      <c r="D212" s="40" t="s">
        <v>1635</v>
      </c>
      <c r="E212" s="40" t="s">
        <v>1402</v>
      </c>
      <c r="F212" s="40" t="s">
        <v>42</v>
      </c>
      <c r="G212" s="40" t="s">
        <v>42</v>
      </c>
      <c r="H212" s="40" t="s">
        <v>1403</v>
      </c>
      <c r="I212" s="40" t="s">
        <v>1636</v>
      </c>
      <c r="J212" s="40" t="s">
        <v>1637</v>
      </c>
      <c r="K212" s="40" t="s">
        <v>42</v>
      </c>
      <c r="L212" s="40" t="s">
        <v>42</v>
      </c>
      <c r="M212" s="40" t="s">
        <v>42</v>
      </c>
      <c r="N212" s="47" t="s">
        <v>1356</v>
      </c>
    </row>
    <row r="213" spans="1:14" s="9" customFormat="1" ht="15" customHeight="1">
      <c r="A213" s="40" t="s">
        <v>599</v>
      </c>
      <c r="B213" s="40" t="s">
        <v>600</v>
      </c>
      <c r="C213" s="47">
        <v>1</v>
      </c>
      <c r="D213" s="40" t="s">
        <v>1638</v>
      </c>
      <c r="E213" s="40" t="s">
        <v>1381</v>
      </c>
      <c r="F213" s="40" t="s">
        <v>42</v>
      </c>
      <c r="G213" s="40" t="s">
        <v>42</v>
      </c>
      <c r="H213" s="40" t="s">
        <v>1638</v>
      </c>
      <c r="I213" s="40" t="s">
        <v>42</v>
      </c>
      <c r="J213" s="40" t="s">
        <v>42</v>
      </c>
      <c r="K213" s="40" t="s">
        <v>42</v>
      </c>
      <c r="L213" s="40" t="s">
        <v>42</v>
      </c>
      <c r="M213" s="40" t="s">
        <v>42</v>
      </c>
      <c r="N213" s="40" t="s">
        <v>42</v>
      </c>
    </row>
    <row r="214" spans="1:14" s="9" customFormat="1" ht="15" customHeight="1">
      <c r="A214" s="40" t="s">
        <v>603</v>
      </c>
      <c r="B214" s="40" t="s">
        <v>518</v>
      </c>
      <c r="C214" s="47">
        <v>1</v>
      </c>
      <c r="D214" s="40" t="s">
        <v>1531</v>
      </c>
      <c r="E214" s="40" t="s">
        <v>1381</v>
      </c>
      <c r="F214" s="40">
        <v>11</v>
      </c>
      <c r="G214" s="40" t="s">
        <v>42</v>
      </c>
      <c r="H214" s="40" t="s">
        <v>1531</v>
      </c>
      <c r="I214" s="40" t="s">
        <v>1532</v>
      </c>
      <c r="J214" s="50" t="s">
        <v>1533</v>
      </c>
      <c r="K214" s="40" t="s">
        <v>42</v>
      </c>
      <c r="L214" s="40" t="s">
        <v>42</v>
      </c>
      <c r="M214" s="40" t="s">
        <v>1639</v>
      </c>
      <c r="N214" s="47" t="s">
        <v>42</v>
      </c>
    </row>
    <row r="215" spans="1:14" ht="15" customHeight="1">
      <c r="A215" s="39" t="s">
        <v>614</v>
      </c>
      <c r="B215" s="39" t="s">
        <v>615</v>
      </c>
      <c r="C215" s="46">
        <v>1</v>
      </c>
      <c r="D215" s="39" t="s">
        <v>1300</v>
      </c>
      <c r="E215" s="39" t="s">
        <v>1301</v>
      </c>
      <c r="F215" s="39" t="s">
        <v>42</v>
      </c>
      <c r="G215" s="39" t="s">
        <v>42</v>
      </c>
      <c r="H215" s="39" t="s">
        <v>1640</v>
      </c>
      <c r="I215" s="39" t="s">
        <v>42</v>
      </c>
      <c r="J215" s="39" t="s">
        <v>42</v>
      </c>
      <c r="K215" s="39" t="s">
        <v>42</v>
      </c>
      <c r="L215" s="39" t="s">
        <v>42</v>
      </c>
      <c r="M215" s="39" t="s">
        <v>1641</v>
      </c>
      <c r="N215" s="39" t="s">
        <v>42</v>
      </c>
    </row>
    <row r="216" spans="1:14" s="9" customFormat="1" ht="15" customHeight="1">
      <c r="A216" s="40" t="s">
        <v>614</v>
      </c>
      <c r="B216" s="40" t="s">
        <v>615</v>
      </c>
      <c r="C216" s="47">
        <v>2</v>
      </c>
      <c r="D216" s="40" t="s">
        <v>1300</v>
      </c>
      <c r="E216" s="40" t="s">
        <v>1301</v>
      </c>
      <c r="F216" s="40" t="s">
        <v>42</v>
      </c>
      <c r="G216" s="40" t="s">
        <v>42</v>
      </c>
      <c r="H216" s="50" t="s">
        <v>1640</v>
      </c>
      <c r="I216" s="40" t="s">
        <v>42</v>
      </c>
      <c r="J216" s="40" t="s">
        <v>42</v>
      </c>
      <c r="K216" s="40" t="s">
        <v>42</v>
      </c>
      <c r="L216" s="40" t="s">
        <v>42</v>
      </c>
      <c r="M216" s="40" t="s">
        <v>1641</v>
      </c>
      <c r="N216" s="40" t="s">
        <v>42</v>
      </c>
    </row>
    <row r="217" spans="1:14" ht="15" customHeight="1">
      <c r="A217" s="39" t="s">
        <v>619</v>
      </c>
      <c r="B217" s="39" t="s">
        <v>620</v>
      </c>
      <c r="C217" s="46">
        <v>1</v>
      </c>
      <c r="D217" s="39" t="s">
        <v>1300</v>
      </c>
      <c r="E217" s="39" t="s">
        <v>1301</v>
      </c>
      <c r="F217" s="39" t="s">
        <v>42</v>
      </c>
      <c r="G217" s="39" t="s">
        <v>42</v>
      </c>
      <c r="H217" s="39" t="s">
        <v>1436</v>
      </c>
      <c r="I217" s="39" t="s">
        <v>42</v>
      </c>
      <c r="J217" s="39" t="s">
        <v>42</v>
      </c>
      <c r="K217" s="39" t="s">
        <v>42</v>
      </c>
      <c r="L217" s="39" t="s">
        <v>42</v>
      </c>
      <c r="M217" s="39" t="s">
        <v>42</v>
      </c>
      <c r="N217" s="39" t="s">
        <v>42</v>
      </c>
    </row>
    <row r="218" spans="1:14" ht="15" customHeight="1">
      <c r="A218" s="39" t="s">
        <v>619</v>
      </c>
      <c r="B218" s="39" t="s">
        <v>620</v>
      </c>
      <c r="C218" s="46">
        <v>2</v>
      </c>
      <c r="D218" s="39" t="s">
        <v>1300</v>
      </c>
      <c r="E218" s="39" t="s">
        <v>1301</v>
      </c>
      <c r="F218" s="39" t="s">
        <v>42</v>
      </c>
      <c r="G218" s="39" t="s">
        <v>42</v>
      </c>
      <c r="H218" s="39" t="s">
        <v>1437</v>
      </c>
      <c r="I218" s="39" t="s">
        <v>42</v>
      </c>
      <c r="J218" s="39" t="s">
        <v>42</v>
      </c>
      <c r="K218" s="39" t="s">
        <v>42</v>
      </c>
      <c r="L218" s="39" t="s">
        <v>42</v>
      </c>
      <c r="M218" s="39" t="s">
        <v>42</v>
      </c>
      <c r="N218" s="39" t="s">
        <v>42</v>
      </c>
    </row>
    <row r="219" spans="1:14" ht="15" customHeight="1">
      <c r="A219" s="39" t="s">
        <v>619</v>
      </c>
      <c r="B219" s="39" t="s">
        <v>620</v>
      </c>
      <c r="C219" s="46">
        <v>3</v>
      </c>
      <c r="D219" s="39" t="s">
        <v>1300</v>
      </c>
      <c r="E219" s="39" t="s">
        <v>1301</v>
      </c>
      <c r="F219" s="39" t="s">
        <v>42</v>
      </c>
      <c r="G219" s="39" t="s">
        <v>42</v>
      </c>
      <c r="H219" s="39" t="s">
        <v>1438</v>
      </c>
      <c r="I219" s="39" t="s">
        <v>42</v>
      </c>
      <c r="J219" s="39" t="s">
        <v>42</v>
      </c>
      <c r="K219" s="39" t="s">
        <v>42</v>
      </c>
      <c r="L219" s="39" t="s">
        <v>42</v>
      </c>
      <c r="M219" s="39" t="s">
        <v>42</v>
      </c>
      <c r="N219" s="39" t="s">
        <v>42</v>
      </c>
    </row>
    <row r="220" spans="1:14" ht="15" customHeight="1">
      <c r="A220" s="39" t="s">
        <v>619</v>
      </c>
      <c r="B220" s="39" t="s">
        <v>620</v>
      </c>
      <c r="C220" s="46">
        <v>4</v>
      </c>
      <c r="D220" s="39" t="s">
        <v>1300</v>
      </c>
      <c r="E220" s="39" t="s">
        <v>1301</v>
      </c>
      <c r="F220" s="39" t="s">
        <v>42</v>
      </c>
      <c r="G220" s="39" t="s">
        <v>42</v>
      </c>
      <c r="H220" s="39" t="s">
        <v>1642</v>
      </c>
      <c r="I220" s="39" t="s">
        <v>42</v>
      </c>
      <c r="J220" s="39" t="s">
        <v>42</v>
      </c>
      <c r="K220" s="39" t="s">
        <v>42</v>
      </c>
      <c r="L220" s="39" t="s">
        <v>42</v>
      </c>
      <c r="M220" s="39" t="s">
        <v>42</v>
      </c>
      <c r="N220" s="39" t="s">
        <v>42</v>
      </c>
    </row>
    <row r="221" spans="1:14" ht="15" customHeight="1">
      <c r="A221" s="39" t="s">
        <v>619</v>
      </c>
      <c r="B221" s="39" t="s">
        <v>620</v>
      </c>
      <c r="C221" s="46">
        <v>5</v>
      </c>
      <c r="D221" s="39" t="s">
        <v>1300</v>
      </c>
      <c r="E221" s="39" t="s">
        <v>1301</v>
      </c>
      <c r="F221" s="39" t="s">
        <v>42</v>
      </c>
      <c r="G221" s="39" t="s">
        <v>42</v>
      </c>
      <c r="H221" s="39" t="s">
        <v>1331</v>
      </c>
      <c r="I221" s="39" t="s">
        <v>42</v>
      </c>
      <c r="J221" s="39" t="s">
        <v>42</v>
      </c>
      <c r="K221" s="39" t="s">
        <v>42</v>
      </c>
      <c r="L221" s="39" t="s">
        <v>42</v>
      </c>
      <c r="M221" s="39" t="s">
        <v>42</v>
      </c>
      <c r="N221" s="39" t="s">
        <v>42</v>
      </c>
    </row>
    <row r="222" spans="1:14" ht="15" customHeight="1">
      <c r="A222" s="39" t="s">
        <v>619</v>
      </c>
      <c r="B222" s="39" t="s">
        <v>620</v>
      </c>
      <c r="C222" s="46">
        <v>6</v>
      </c>
      <c r="D222" s="39" t="s">
        <v>1300</v>
      </c>
      <c r="E222" s="39" t="s">
        <v>1301</v>
      </c>
      <c r="F222" s="39" t="s">
        <v>42</v>
      </c>
      <c r="G222" s="39" t="s">
        <v>42</v>
      </c>
      <c r="H222" s="39" t="s">
        <v>1440</v>
      </c>
      <c r="I222" s="39" t="s">
        <v>42</v>
      </c>
      <c r="J222" s="39" t="s">
        <v>42</v>
      </c>
      <c r="K222" s="39" t="s">
        <v>42</v>
      </c>
      <c r="L222" s="39" t="s">
        <v>42</v>
      </c>
      <c r="M222" s="39" t="s">
        <v>42</v>
      </c>
      <c r="N222" s="39" t="s">
        <v>42</v>
      </c>
    </row>
    <row r="223" spans="1:14" ht="15" customHeight="1">
      <c r="A223" s="39" t="s">
        <v>619</v>
      </c>
      <c r="B223" s="39" t="s">
        <v>620</v>
      </c>
      <c r="C223" s="46">
        <v>7</v>
      </c>
      <c r="D223" s="39" t="s">
        <v>1300</v>
      </c>
      <c r="E223" s="39" t="s">
        <v>1301</v>
      </c>
      <c r="F223" s="39" t="s">
        <v>42</v>
      </c>
      <c r="G223" s="39" t="s">
        <v>42</v>
      </c>
      <c r="H223" s="39" t="s">
        <v>1643</v>
      </c>
      <c r="I223" s="39" t="s">
        <v>42</v>
      </c>
      <c r="J223" s="39" t="s">
        <v>42</v>
      </c>
      <c r="K223" s="39" t="s">
        <v>42</v>
      </c>
      <c r="L223" s="39" t="s">
        <v>42</v>
      </c>
      <c r="M223" s="39" t="s">
        <v>42</v>
      </c>
      <c r="N223" s="39" t="s">
        <v>42</v>
      </c>
    </row>
    <row r="224" spans="1:14" ht="15" customHeight="1">
      <c r="A224" s="39" t="s">
        <v>619</v>
      </c>
      <c r="B224" s="39" t="s">
        <v>620</v>
      </c>
      <c r="C224" s="46">
        <v>8</v>
      </c>
      <c r="D224" s="39" t="s">
        <v>1300</v>
      </c>
      <c r="E224" s="39" t="s">
        <v>1301</v>
      </c>
      <c r="F224" s="39" t="s">
        <v>42</v>
      </c>
      <c r="G224" s="39" t="s">
        <v>42</v>
      </c>
      <c r="H224" s="39" t="s">
        <v>1359</v>
      </c>
      <c r="I224" s="39" t="s">
        <v>42</v>
      </c>
      <c r="J224" s="39" t="s">
        <v>42</v>
      </c>
      <c r="K224" s="39" t="s">
        <v>42</v>
      </c>
      <c r="L224" s="39" t="s">
        <v>42</v>
      </c>
      <c r="M224" s="39" t="s">
        <v>42</v>
      </c>
      <c r="N224" s="39" t="s">
        <v>42</v>
      </c>
    </row>
    <row r="225" spans="1:14" ht="15" customHeight="1">
      <c r="A225" s="39" t="s">
        <v>619</v>
      </c>
      <c r="B225" s="39" t="s">
        <v>620</v>
      </c>
      <c r="C225" s="46">
        <v>9</v>
      </c>
      <c r="D225" s="39" t="s">
        <v>1300</v>
      </c>
      <c r="E225" s="39" t="s">
        <v>1301</v>
      </c>
      <c r="F225" s="39" t="s">
        <v>42</v>
      </c>
      <c r="G225" s="39" t="s">
        <v>42</v>
      </c>
      <c r="H225" s="39" t="s">
        <v>1644</v>
      </c>
      <c r="I225" s="39" t="s">
        <v>42</v>
      </c>
      <c r="J225" s="39" t="s">
        <v>42</v>
      </c>
      <c r="K225" s="39" t="s">
        <v>42</v>
      </c>
      <c r="L225" s="39" t="s">
        <v>42</v>
      </c>
      <c r="M225" s="39" t="s">
        <v>42</v>
      </c>
      <c r="N225" s="39" t="s">
        <v>42</v>
      </c>
    </row>
    <row r="226" spans="1:14" ht="15" customHeight="1">
      <c r="A226" s="39" t="s">
        <v>619</v>
      </c>
      <c r="B226" s="39" t="s">
        <v>620</v>
      </c>
      <c r="C226" s="46">
        <v>10</v>
      </c>
      <c r="D226" s="39" t="s">
        <v>1300</v>
      </c>
      <c r="E226" s="39" t="s">
        <v>1301</v>
      </c>
      <c r="F226" s="39" t="s">
        <v>42</v>
      </c>
      <c r="G226" s="39" t="s">
        <v>42</v>
      </c>
      <c r="H226" s="39" t="s">
        <v>1332</v>
      </c>
      <c r="I226" s="39" t="s">
        <v>42</v>
      </c>
      <c r="J226" s="39" t="s">
        <v>42</v>
      </c>
      <c r="K226" s="39" t="s">
        <v>42</v>
      </c>
      <c r="L226" s="39" t="s">
        <v>42</v>
      </c>
      <c r="M226" s="39" t="s">
        <v>42</v>
      </c>
      <c r="N226" s="39" t="s">
        <v>42</v>
      </c>
    </row>
    <row r="227" spans="1:14" ht="15" customHeight="1">
      <c r="A227" s="39" t="s">
        <v>619</v>
      </c>
      <c r="B227" s="39" t="s">
        <v>620</v>
      </c>
      <c r="C227" s="46">
        <v>11</v>
      </c>
      <c r="D227" s="39" t="s">
        <v>1300</v>
      </c>
      <c r="E227" s="39" t="s">
        <v>1301</v>
      </c>
      <c r="F227" s="39" t="s">
        <v>42</v>
      </c>
      <c r="G227" s="39" t="s">
        <v>42</v>
      </c>
      <c r="H227" s="39" t="s">
        <v>1338</v>
      </c>
      <c r="I227" s="39" t="s">
        <v>42</v>
      </c>
      <c r="J227" s="39" t="s">
        <v>42</v>
      </c>
      <c r="K227" s="39" t="s">
        <v>42</v>
      </c>
      <c r="L227" s="39" t="s">
        <v>42</v>
      </c>
      <c r="M227" s="39" t="s">
        <v>42</v>
      </c>
      <c r="N227" s="39" t="s">
        <v>42</v>
      </c>
    </row>
    <row r="228" spans="1:14" ht="15" customHeight="1">
      <c r="A228" s="39" t="s">
        <v>619</v>
      </c>
      <c r="B228" s="39" t="s">
        <v>620</v>
      </c>
      <c r="C228" s="46">
        <v>12</v>
      </c>
      <c r="D228" s="39" t="s">
        <v>1300</v>
      </c>
      <c r="E228" s="39" t="s">
        <v>1301</v>
      </c>
      <c r="F228" s="39" t="s">
        <v>42</v>
      </c>
      <c r="G228" s="39" t="s">
        <v>42</v>
      </c>
      <c r="H228" s="39" t="s">
        <v>1305</v>
      </c>
      <c r="I228" s="39" t="s">
        <v>42</v>
      </c>
      <c r="J228" s="39" t="s">
        <v>42</v>
      </c>
      <c r="K228" s="39" t="s">
        <v>42</v>
      </c>
      <c r="L228" s="39" t="s">
        <v>42</v>
      </c>
      <c r="M228" s="39" t="s">
        <v>42</v>
      </c>
      <c r="N228" s="39" t="s">
        <v>42</v>
      </c>
    </row>
    <row r="229" spans="1:14" ht="15" customHeight="1">
      <c r="A229" s="39" t="s">
        <v>619</v>
      </c>
      <c r="B229" s="39" t="s">
        <v>620</v>
      </c>
      <c r="C229" s="46">
        <v>13</v>
      </c>
      <c r="D229" s="39" t="s">
        <v>1300</v>
      </c>
      <c r="E229" s="39" t="s">
        <v>1301</v>
      </c>
      <c r="F229" s="39" t="s">
        <v>42</v>
      </c>
      <c r="G229" s="39" t="s">
        <v>42</v>
      </c>
      <c r="H229" s="39" t="s">
        <v>1297</v>
      </c>
      <c r="I229" s="39" t="s">
        <v>42</v>
      </c>
      <c r="J229" s="39" t="s">
        <v>42</v>
      </c>
      <c r="K229" s="39" t="s">
        <v>42</v>
      </c>
      <c r="L229" s="39" t="s">
        <v>42</v>
      </c>
      <c r="M229" s="39" t="s">
        <v>42</v>
      </c>
      <c r="N229" s="39" t="s">
        <v>42</v>
      </c>
    </row>
    <row r="230" spans="1:14" s="9" customFormat="1" ht="15" customHeight="1">
      <c r="A230" s="40" t="s">
        <v>619</v>
      </c>
      <c r="B230" s="40" t="s">
        <v>620</v>
      </c>
      <c r="C230" s="47">
        <v>14</v>
      </c>
      <c r="D230" s="40" t="s">
        <v>1300</v>
      </c>
      <c r="E230" s="40" t="s">
        <v>1301</v>
      </c>
      <c r="F230" s="40" t="s">
        <v>42</v>
      </c>
      <c r="G230" s="40" t="s">
        <v>42</v>
      </c>
      <c r="H230" s="40" t="s">
        <v>1645</v>
      </c>
      <c r="I230" s="40" t="s">
        <v>42</v>
      </c>
      <c r="J230" s="40" t="s">
        <v>42</v>
      </c>
      <c r="K230" s="40" t="s">
        <v>42</v>
      </c>
      <c r="L230" s="40" t="s">
        <v>42</v>
      </c>
      <c r="M230" s="40" t="s">
        <v>42</v>
      </c>
      <c r="N230" s="40" t="s">
        <v>42</v>
      </c>
    </row>
    <row r="231" spans="1:14" ht="15" customHeight="1">
      <c r="A231" s="39" t="s">
        <v>628</v>
      </c>
      <c r="B231" s="48" t="s">
        <v>629</v>
      </c>
      <c r="C231" s="46">
        <v>1</v>
      </c>
      <c r="D231" s="39" t="s">
        <v>1646</v>
      </c>
      <c r="E231" s="39" t="s">
        <v>1301</v>
      </c>
      <c r="F231" s="39" t="s">
        <v>42</v>
      </c>
      <c r="G231" s="39" t="s">
        <v>42</v>
      </c>
      <c r="H231" s="39" t="s">
        <v>1646</v>
      </c>
      <c r="I231" s="39" t="s">
        <v>1647</v>
      </c>
      <c r="J231" s="39" t="s">
        <v>1648</v>
      </c>
      <c r="K231" s="39" t="s">
        <v>42</v>
      </c>
      <c r="L231" s="39" t="s">
        <v>42</v>
      </c>
      <c r="M231" s="39" t="s">
        <v>1634</v>
      </c>
      <c r="N231" s="46" t="s">
        <v>42</v>
      </c>
    </row>
    <row r="232" spans="1:14" ht="15" customHeight="1">
      <c r="A232" s="39" t="s">
        <v>628</v>
      </c>
      <c r="B232" s="48" t="s">
        <v>629</v>
      </c>
      <c r="C232" s="46">
        <v>2</v>
      </c>
      <c r="D232" s="39" t="s">
        <v>1649</v>
      </c>
      <c r="E232" s="39" t="s">
        <v>1301</v>
      </c>
      <c r="F232" s="39" t="s">
        <v>42</v>
      </c>
      <c r="G232" s="39" t="s">
        <v>42</v>
      </c>
      <c r="H232" s="39" t="s">
        <v>1649</v>
      </c>
      <c r="I232" s="39" t="s">
        <v>1647</v>
      </c>
      <c r="J232" s="39" t="s">
        <v>1648</v>
      </c>
      <c r="K232" s="39" t="s">
        <v>42</v>
      </c>
      <c r="L232" s="39" t="s">
        <v>42</v>
      </c>
      <c r="M232" s="39" t="s">
        <v>1634</v>
      </c>
      <c r="N232" s="46" t="s">
        <v>42</v>
      </c>
    </row>
    <row r="233" spans="1:14" ht="15" customHeight="1">
      <c r="A233" s="39" t="s">
        <v>628</v>
      </c>
      <c r="B233" s="48" t="s">
        <v>629</v>
      </c>
      <c r="C233" s="46">
        <v>3</v>
      </c>
      <c r="D233" s="39" t="s">
        <v>1650</v>
      </c>
      <c r="E233" s="39" t="s">
        <v>1301</v>
      </c>
      <c r="F233" s="39" t="s">
        <v>42</v>
      </c>
      <c r="G233" s="39" t="s">
        <v>42</v>
      </c>
      <c r="H233" s="39" t="s">
        <v>1650</v>
      </c>
      <c r="I233" s="39" t="s">
        <v>1647</v>
      </c>
      <c r="J233" s="39" t="s">
        <v>1648</v>
      </c>
      <c r="K233" s="39" t="s">
        <v>42</v>
      </c>
      <c r="L233" s="39" t="s">
        <v>42</v>
      </c>
      <c r="M233" s="39" t="s">
        <v>1634</v>
      </c>
      <c r="N233" s="46" t="s">
        <v>42</v>
      </c>
    </row>
    <row r="234" spans="1:14" ht="15" customHeight="1">
      <c r="A234" s="39" t="s">
        <v>628</v>
      </c>
      <c r="B234" s="48" t="s">
        <v>629</v>
      </c>
      <c r="C234" s="46">
        <v>4</v>
      </c>
      <c r="D234" s="39" t="s">
        <v>1651</v>
      </c>
      <c r="E234" s="39" t="s">
        <v>1301</v>
      </c>
      <c r="F234" s="39" t="s">
        <v>42</v>
      </c>
      <c r="G234" s="39" t="s">
        <v>42</v>
      </c>
      <c r="H234" s="39" t="s">
        <v>1651</v>
      </c>
      <c r="I234" s="39" t="s">
        <v>1647</v>
      </c>
      <c r="J234" s="39" t="s">
        <v>1648</v>
      </c>
      <c r="K234" s="39" t="s">
        <v>42</v>
      </c>
      <c r="L234" s="39" t="s">
        <v>42</v>
      </c>
      <c r="M234" s="39" t="s">
        <v>1634</v>
      </c>
      <c r="N234" s="46" t="s">
        <v>42</v>
      </c>
    </row>
    <row r="235" spans="1:14" ht="15" customHeight="1">
      <c r="A235" s="39" t="s">
        <v>628</v>
      </c>
      <c r="B235" s="48" t="s">
        <v>629</v>
      </c>
      <c r="C235" s="46">
        <v>5</v>
      </c>
      <c r="D235" s="39" t="s">
        <v>1652</v>
      </c>
      <c r="E235" s="39" t="s">
        <v>1301</v>
      </c>
      <c r="F235" s="39" t="s">
        <v>42</v>
      </c>
      <c r="G235" s="39" t="s">
        <v>42</v>
      </c>
      <c r="H235" s="39" t="s">
        <v>1652</v>
      </c>
      <c r="I235" s="39" t="s">
        <v>1647</v>
      </c>
      <c r="J235" s="39" t="s">
        <v>1648</v>
      </c>
      <c r="K235" s="39" t="s">
        <v>42</v>
      </c>
      <c r="L235" s="39" t="s">
        <v>42</v>
      </c>
      <c r="M235" s="39" t="s">
        <v>1634</v>
      </c>
      <c r="N235" s="46" t="s">
        <v>42</v>
      </c>
    </row>
    <row r="236" spans="1:14" ht="15" customHeight="1">
      <c r="A236" s="39" t="s">
        <v>628</v>
      </c>
      <c r="B236" s="48" t="s">
        <v>629</v>
      </c>
      <c r="C236" s="46">
        <v>6</v>
      </c>
      <c r="D236" s="39" t="s">
        <v>1653</v>
      </c>
      <c r="E236" s="39" t="s">
        <v>1301</v>
      </c>
      <c r="F236" s="39" t="s">
        <v>42</v>
      </c>
      <c r="G236" s="39" t="s">
        <v>42</v>
      </c>
      <c r="H236" s="39" t="s">
        <v>1653</v>
      </c>
      <c r="I236" s="39" t="s">
        <v>1647</v>
      </c>
      <c r="J236" s="39" t="s">
        <v>1648</v>
      </c>
      <c r="K236" s="39" t="s">
        <v>42</v>
      </c>
      <c r="L236" s="39" t="s">
        <v>42</v>
      </c>
      <c r="M236" s="39" t="s">
        <v>1634</v>
      </c>
      <c r="N236" s="46" t="s">
        <v>42</v>
      </c>
    </row>
    <row r="237" spans="1:14" s="9" customFormat="1" ht="15" customHeight="1">
      <c r="A237" s="40" t="s">
        <v>628</v>
      </c>
      <c r="B237" s="50" t="s">
        <v>629</v>
      </c>
      <c r="C237" s="47">
        <v>7</v>
      </c>
      <c r="D237" s="40" t="s">
        <v>1654</v>
      </c>
      <c r="E237" s="40" t="s">
        <v>1301</v>
      </c>
      <c r="F237" s="40" t="s">
        <v>42</v>
      </c>
      <c r="G237" s="40" t="s">
        <v>42</v>
      </c>
      <c r="H237" s="40" t="s">
        <v>1654</v>
      </c>
      <c r="I237" s="40" t="s">
        <v>1647</v>
      </c>
      <c r="J237" s="40" t="s">
        <v>1648</v>
      </c>
      <c r="K237" s="40" t="s">
        <v>42</v>
      </c>
      <c r="L237" s="40" t="s">
        <v>42</v>
      </c>
      <c r="M237" s="40" t="s">
        <v>1634</v>
      </c>
      <c r="N237" s="47" t="s">
        <v>42</v>
      </c>
    </row>
    <row r="238" spans="1:14" ht="15" customHeight="1">
      <c r="A238" s="39" t="s">
        <v>641</v>
      </c>
      <c r="B238" s="39" t="s">
        <v>642</v>
      </c>
      <c r="C238" s="46">
        <v>1</v>
      </c>
      <c r="D238" s="39" t="s">
        <v>1655</v>
      </c>
      <c r="E238" s="39" t="s">
        <v>1301</v>
      </c>
      <c r="F238" s="39" t="s">
        <v>42</v>
      </c>
      <c r="G238" s="39" t="s">
        <v>42</v>
      </c>
      <c r="H238" s="39" t="s">
        <v>1655</v>
      </c>
      <c r="I238" s="39" t="s">
        <v>1656</v>
      </c>
      <c r="J238" s="39" t="s">
        <v>42</v>
      </c>
      <c r="K238" s="39" t="s">
        <v>42</v>
      </c>
      <c r="L238" s="39" t="s">
        <v>42</v>
      </c>
      <c r="M238" s="39" t="s">
        <v>1634</v>
      </c>
      <c r="N238" s="39" t="s">
        <v>42</v>
      </c>
    </row>
    <row r="239" spans="1:14" ht="15" customHeight="1">
      <c r="A239" s="39" t="s">
        <v>641</v>
      </c>
      <c r="B239" s="39" t="s">
        <v>642</v>
      </c>
      <c r="C239" s="46">
        <v>2</v>
      </c>
      <c r="D239" s="39" t="s">
        <v>1657</v>
      </c>
      <c r="E239" s="39" t="s">
        <v>1301</v>
      </c>
      <c r="F239" s="39" t="s">
        <v>42</v>
      </c>
      <c r="G239" s="39" t="s">
        <v>42</v>
      </c>
      <c r="H239" s="39" t="s">
        <v>1657</v>
      </c>
      <c r="I239" s="39" t="s">
        <v>1656</v>
      </c>
      <c r="J239" s="39" t="s">
        <v>42</v>
      </c>
      <c r="K239" s="39" t="s">
        <v>42</v>
      </c>
      <c r="L239" s="39" t="s">
        <v>42</v>
      </c>
      <c r="M239" s="39" t="s">
        <v>1634</v>
      </c>
      <c r="N239" s="39" t="s">
        <v>42</v>
      </c>
    </row>
    <row r="240" spans="1:14" ht="15" customHeight="1">
      <c r="A240" s="39" t="s">
        <v>641</v>
      </c>
      <c r="B240" s="39" t="s">
        <v>642</v>
      </c>
      <c r="C240" s="46">
        <v>3</v>
      </c>
      <c r="D240" s="39" t="s">
        <v>1658</v>
      </c>
      <c r="E240" s="39" t="s">
        <v>1301</v>
      </c>
      <c r="F240" s="39" t="s">
        <v>42</v>
      </c>
      <c r="G240" s="39" t="s">
        <v>42</v>
      </c>
      <c r="H240" s="39" t="s">
        <v>1658</v>
      </c>
      <c r="I240" s="39" t="s">
        <v>1656</v>
      </c>
      <c r="J240" s="39" t="s">
        <v>42</v>
      </c>
      <c r="K240" s="39" t="s">
        <v>42</v>
      </c>
      <c r="L240" s="39" t="s">
        <v>42</v>
      </c>
      <c r="M240" s="39" t="s">
        <v>1634</v>
      </c>
      <c r="N240" s="39" t="s">
        <v>42</v>
      </c>
    </row>
    <row r="241" spans="1:14" ht="15" customHeight="1">
      <c r="A241" s="39" t="s">
        <v>641</v>
      </c>
      <c r="B241" s="39" t="s">
        <v>642</v>
      </c>
      <c r="C241" s="46">
        <v>4</v>
      </c>
      <c r="D241" s="39" t="s">
        <v>1659</v>
      </c>
      <c r="E241" s="39" t="s">
        <v>1301</v>
      </c>
      <c r="F241" s="39" t="s">
        <v>42</v>
      </c>
      <c r="G241" s="39" t="s">
        <v>42</v>
      </c>
      <c r="H241" s="39" t="s">
        <v>1659</v>
      </c>
      <c r="I241" s="39" t="s">
        <v>1656</v>
      </c>
      <c r="J241" s="39" t="s">
        <v>42</v>
      </c>
      <c r="K241" s="39" t="s">
        <v>42</v>
      </c>
      <c r="L241" s="39" t="s">
        <v>42</v>
      </c>
      <c r="M241" s="39" t="s">
        <v>1634</v>
      </c>
      <c r="N241" s="39" t="s">
        <v>42</v>
      </c>
    </row>
    <row r="242" spans="1:14" ht="15" customHeight="1">
      <c r="A242" s="39" t="s">
        <v>641</v>
      </c>
      <c r="B242" s="39" t="s">
        <v>642</v>
      </c>
      <c r="C242" s="46">
        <v>5</v>
      </c>
      <c r="D242" s="39" t="s">
        <v>1660</v>
      </c>
      <c r="E242" s="39" t="s">
        <v>1301</v>
      </c>
      <c r="F242" s="39" t="s">
        <v>42</v>
      </c>
      <c r="G242" s="39" t="s">
        <v>42</v>
      </c>
      <c r="H242" s="39" t="s">
        <v>1660</v>
      </c>
      <c r="I242" s="39" t="s">
        <v>1656</v>
      </c>
      <c r="J242" s="39" t="s">
        <v>42</v>
      </c>
      <c r="K242" s="39" t="s">
        <v>42</v>
      </c>
      <c r="L242" s="39" t="s">
        <v>42</v>
      </c>
      <c r="M242" s="39" t="s">
        <v>1634</v>
      </c>
      <c r="N242" s="39" t="s">
        <v>42</v>
      </c>
    </row>
    <row r="243" spans="1:14" s="9" customFormat="1" ht="15" customHeight="1">
      <c r="A243" s="40" t="s">
        <v>641</v>
      </c>
      <c r="B243" s="40" t="s">
        <v>642</v>
      </c>
      <c r="C243" s="47">
        <v>6</v>
      </c>
      <c r="D243" s="40" t="s">
        <v>1661</v>
      </c>
      <c r="E243" s="40" t="s">
        <v>1301</v>
      </c>
      <c r="F243" s="40" t="s">
        <v>42</v>
      </c>
      <c r="G243" s="40" t="s">
        <v>42</v>
      </c>
      <c r="H243" s="40" t="s">
        <v>1661</v>
      </c>
      <c r="I243" s="40" t="s">
        <v>1656</v>
      </c>
      <c r="J243" s="40" t="s">
        <v>42</v>
      </c>
      <c r="K243" s="40" t="s">
        <v>42</v>
      </c>
      <c r="L243" s="40" t="s">
        <v>42</v>
      </c>
      <c r="M243" s="40" t="s">
        <v>1634</v>
      </c>
      <c r="N243" s="40" t="s">
        <v>42</v>
      </c>
    </row>
    <row r="244" spans="1:14" ht="15" customHeight="1">
      <c r="A244" s="39" t="s">
        <v>645</v>
      </c>
      <c r="B244" s="39" t="s">
        <v>646</v>
      </c>
      <c r="C244" s="46">
        <v>1</v>
      </c>
      <c r="D244" s="39" t="s">
        <v>1436</v>
      </c>
      <c r="E244" s="39" t="s">
        <v>1301</v>
      </c>
      <c r="F244" s="39" t="s">
        <v>1662</v>
      </c>
      <c r="G244" s="39" t="s">
        <v>42</v>
      </c>
      <c r="H244" s="39" t="s">
        <v>1436</v>
      </c>
      <c r="I244" s="39" t="s">
        <v>42</v>
      </c>
      <c r="J244" s="39" t="s">
        <v>42</v>
      </c>
      <c r="K244" s="39" t="s">
        <v>42</v>
      </c>
      <c r="L244" s="39" t="s">
        <v>42</v>
      </c>
      <c r="M244" s="39" t="s">
        <v>1663</v>
      </c>
      <c r="N244" s="46" t="s">
        <v>1447</v>
      </c>
    </row>
    <row r="245" spans="1:14" ht="15" customHeight="1">
      <c r="A245" s="39" t="s">
        <v>645</v>
      </c>
      <c r="B245" s="39" t="s">
        <v>646</v>
      </c>
      <c r="C245" s="46">
        <v>2</v>
      </c>
      <c r="D245" s="39" t="s">
        <v>1331</v>
      </c>
      <c r="E245" s="39" t="s">
        <v>1301</v>
      </c>
      <c r="F245" s="39" t="s">
        <v>1662</v>
      </c>
      <c r="G245" s="39" t="s">
        <v>42</v>
      </c>
      <c r="H245" s="39" t="s">
        <v>1331</v>
      </c>
      <c r="I245" s="39" t="s">
        <v>42</v>
      </c>
      <c r="J245" s="39" t="s">
        <v>42</v>
      </c>
      <c r="K245" s="39" t="s">
        <v>42</v>
      </c>
      <c r="L245" s="39" t="s">
        <v>42</v>
      </c>
      <c r="M245" s="39" t="s">
        <v>1663</v>
      </c>
      <c r="N245" s="46" t="s">
        <v>1447</v>
      </c>
    </row>
    <row r="246" spans="1:14" ht="15" customHeight="1">
      <c r="A246" s="39" t="s">
        <v>645</v>
      </c>
      <c r="B246" s="39" t="s">
        <v>646</v>
      </c>
      <c r="C246" s="46">
        <v>3</v>
      </c>
      <c r="D246" s="39" t="s">
        <v>1644</v>
      </c>
      <c r="E246" s="39" t="s">
        <v>1301</v>
      </c>
      <c r="F246" s="39" t="s">
        <v>1662</v>
      </c>
      <c r="G246" s="39" t="s">
        <v>42</v>
      </c>
      <c r="H246" s="39" t="s">
        <v>1644</v>
      </c>
      <c r="I246" s="39" t="s">
        <v>42</v>
      </c>
      <c r="J246" s="39" t="s">
        <v>42</v>
      </c>
      <c r="K246" s="39" t="s">
        <v>42</v>
      </c>
      <c r="L246" s="39" t="s">
        <v>42</v>
      </c>
      <c r="M246" s="39" t="s">
        <v>1663</v>
      </c>
      <c r="N246" s="46" t="s">
        <v>1447</v>
      </c>
    </row>
    <row r="247" spans="1:14" ht="15" customHeight="1">
      <c r="A247" s="39" t="s">
        <v>645</v>
      </c>
      <c r="B247" s="39" t="s">
        <v>646</v>
      </c>
      <c r="C247" s="46">
        <v>4</v>
      </c>
      <c r="D247" s="39" t="s">
        <v>1333</v>
      </c>
      <c r="E247" s="39" t="s">
        <v>1301</v>
      </c>
      <c r="F247" s="39" t="s">
        <v>1662</v>
      </c>
      <c r="G247" s="39" t="s">
        <v>42</v>
      </c>
      <c r="H247" s="39" t="s">
        <v>1333</v>
      </c>
      <c r="I247" s="39" t="s">
        <v>42</v>
      </c>
      <c r="J247" s="39" t="s">
        <v>42</v>
      </c>
      <c r="K247" s="39" t="s">
        <v>42</v>
      </c>
      <c r="L247" s="39" t="s">
        <v>42</v>
      </c>
      <c r="M247" s="39" t="s">
        <v>1663</v>
      </c>
      <c r="N247" s="46" t="s">
        <v>1447</v>
      </c>
    </row>
    <row r="248" spans="1:14" ht="15" customHeight="1">
      <c r="A248" s="39" t="s">
        <v>645</v>
      </c>
      <c r="B248" s="39" t="s">
        <v>646</v>
      </c>
      <c r="C248" s="46">
        <v>5</v>
      </c>
      <c r="D248" s="39" t="s">
        <v>1335</v>
      </c>
      <c r="E248" s="39" t="s">
        <v>1301</v>
      </c>
      <c r="F248" s="39" t="s">
        <v>1662</v>
      </c>
      <c r="G248" s="39" t="s">
        <v>42</v>
      </c>
      <c r="H248" s="39" t="s">
        <v>1335</v>
      </c>
      <c r="I248" s="39" t="s">
        <v>42</v>
      </c>
      <c r="J248" s="39" t="s">
        <v>42</v>
      </c>
      <c r="K248" s="39" t="s">
        <v>42</v>
      </c>
      <c r="L248" s="39" t="s">
        <v>42</v>
      </c>
      <c r="M248" s="39" t="s">
        <v>1663</v>
      </c>
      <c r="N248" s="46" t="s">
        <v>1447</v>
      </c>
    </row>
    <row r="249" spans="1:14" s="9" customFormat="1" ht="15" customHeight="1">
      <c r="A249" s="40" t="s">
        <v>645</v>
      </c>
      <c r="B249" s="40" t="s">
        <v>646</v>
      </c>
      <c r="C249" s="47">
        <v>6</v>
      </c>
      <c r="D249" s="40" t="s">
        <v>1305</v>
      </c>
      <c r="E249" s="40" t="s">
        <v>1301</v>
      </c>
      <c r="F249" s="40" t="s">
        <v>1662</v>
      </c>
      <c r="G249" s="40" t="s">
        <v>42</v>
      </c>
      <c r="H249" s="40" t="s">
        <v>1305</v>
      </c>
      <c r="I249" s="40" t="s">
        <v>42</v>
      </c>
      <c r="J249" s="40" t="s">
        <v>42</v>
      </c>
      <c r="K249" s="40" t="s">
        <v>42</v>
      </c>
      <c r="L249" s="40" t="s">
        <v>42</v>
      </c>
      <c r="M249" s="40" t="s">
        <v>1663</v>
      </c>
      <c r="N249" s="47" t="s">
        <v>1447</v>
      </c>
    </row>
    <row r="250" spans="1:14" ht="15" customHeight="1">
      <c r="A250" s="39" t="s">
        <v>651</v>
      </c>
      <c r="B250" s="39" t="s">
        <v>652</v>
      </c>
      <c r="C250" s="46">
        <v>1</v>
      </c>
      <c r="D250" s="39" t="s">
        <v>1664</v>
      </c>
      <c r="E250" s="39" t="s">
        <v>1339</v>
      </c>
      <c r="F250" s="39" t="s">
        <v>42</v>
      </c>
      <c r="G250" s="39" t="s">
        <v>42</v>
      </c>
      <c r="H250" s="39" t="s">
        <v>42</v>
      </c>
      <c r="I250" s="39" t="s">
        <v>42</v>
      </c>
      <c r="J250" s="39" t="s">
        <v>42</v>
      </c>
      <c r="K250" s="39" t="s">
        <v>42</v>
      </c>
      <c r="L250" s="39" t="s">
        <v>42</v>
      </c>
      <c r="M250" s="39" t="s">
        <v>42</v>
      </c>
      <c r="N250" s="39" t="s">
        <v>42</v>
      </c>
    </row>
    <row r="251" spans="1:14" ht="15" customHeight="1">
      <c r="A251" s="39" t="s">
        <v>651</v>
      </c>
      <c r="B251" s="39" t="s">
        <v>652</v>
      </c>
      <c r="C251" s="46">
        <v>2</v>
      </c>
      <c r="D251" s="39" t="s">
        <v>1664</v>
      </c>
      <c r="E251" s="39" t="s">
        <v>1301</v>
      </c>
      <c r="F251" s="39" t="s">
        <v>42</v>
      </c>
      <c r="G251" s="39" t="s">
        <v>42</v>
      </c>
      <c r="H251" s="39" t="s">
        <v>42</v>
      </c>
      <c r="I251" s="39" t="s">
        <v>42</v>
      </c>
      <c r="J251" s="39" t="s">
        <v>42</v>
      </c>
      <c r="K251" s="39" t="s">
        <v>42</v>
      </c>
      <c r="L251" s="39" t="s">
        <v>42</v>
      </c>
      <c r="M251" s="39" t="s">
        <v>42</v>
      </c>
      <c r="N251" s="39" t="s">
        <v>42</v>
      </c>
    </row>
    <row r="252" spans="1:14" ht="15" customHeight="1">
      <c r="A252" s="39" t="s">
        <v>651</v>
      </c>
      <c r="B252" s="39" t="s">
        <v>652</v>
      </c>
      <c r="C252" s="46">
        <v>3</v>
      </c>
      <c r="D252" s="39" t="s">
        <v>1664</v>
      </c>
      <c r="E252" s="39" t="s">
        <v>1492</v>
      </c>
      <c r="F252" s="39" t="s">
        <v>42</v>
      </c>
      <c r="G252" s="39" t="s">
        <v>42</v>
      </c>
      <c r="H252" s="39" t="s">
        <v>42</v>
      </c>
      <c r="I252" s="39" t="s">
        <v>42</v>
      </c>
      <c r="J252" s="39" t="s">
        <v>42</v>
      </c>
      <c r="K252" s="39" t="s">
        <v>42</v>
      </c>
      <c r="L252" s="39" t="s">
        <v>42</v>
      </c>
      <c r="M252" s="39" t="s">
        <v>42</v>
      </c>
      <c r="N252" s="39" t="s">
        <v>42</v>
      </c>
    </row>
    <row r="253" spans="1:14" ht="15" customHeight="1">
      <c r="A253" s="39" t="s">
        <v>651</v>
      </c>
      <c r="B253" s="39" t="s">
        <v>652</v>
      </c>
      <c r="C253" s="46">
        <v>4</v>
      </c>
      <c r="D253" s="39" t="s">
        <v>1664</v>
      </c>
      <c r="E253" s="39" t="s">
        <v>1665</v>
      </c>
      <c r="F253" s="39" t="s">
        <v>42</v>
      </c>
      <c r="G253" s="39" t="s">
        <v>42</v>
      </c>
      <c r="H253" s="39" t="s">
        <v>42</v>
      </c>
      <c r="I253" s="39" t="s">
        <v>42</v>
      </c>
      <c r="J253" s="39" t="s">
        <v>42</v>
      </c>
      <c r="K253" s="39" t="s">
        <v>42</v>
      </c>
      <c r="L253" s="39" t="s">
        <v>42</v>
      </c>
      <c r="M253" s="39" t="s">
        <v>42</v>
      </c>
      <c r="N253" s="39" t="s">
        <v>42</v>
      </c>
    </row>
    <row r="254" spans="1:14" ht="15" customHeight="1">
      <c r="A254" s="39" t="s">
        <v>651</v>
      </c>
      <c r="B254" s="39" t="s">
        <v>652</v>
      </c>
      <c r="C254" s="46">
        <v>5</v>
      </c>
      <c r="D254" s="39" t="s">
        <v>1664</v>
      </c>
      <c r="E254" s="39" t="s">
        <v>1402</v>
      </c>
      <c r="F254" s="39" t="s">
        <v>42</v>
      </c>
      <c r="G254" s="39" t="s">
        <v>42</v>
      </c>
      <c r="H254" s="39" t="s">
        <v>42</v>
      </c>
      <c r="I254" s="39" t="s">
        <v>42</v>
      </c>
      <c r="J254" s="39" t="s">
        <v>42</v>
      </c>
      <c r="K254" s="39" t="s">
        <v>42</v>
      </c>
      <c r="L254" s="39" t="s">
        <v>42</v>
      </c>
      <c r="M254" s="39" t="s">
        <v>42</v>
      </c>
      <c r="N254" s="39" t="s">
        <v>42</v>
      </c>
    </row>
    <row r="255" spans="1:14" s="9" customFormat="1" ht="15" customHeight="1">
      <c r="A255" s="40" t="s">
        <v>651</v>
      </c>
      <c r="B255" s="40" t="s">
        <v>652</v>
      </c>
      <c r="C255" s="47">
        <v>6</v>
      </c>
      <c r="D255" s="40" t="s">
        <v>1664</v>
      </c>
      <c r="E255" s="40" t="s">
        <v>1666</v>
      </c>
      <c r="F255" s="40" t="s">
        <v>42</v>
      </c>
      <c r="G255" s="40" t="s">
        <v>42</v>
      </c>
      <c r="H255" s="40" t="s">
        <v>42</v>
      </c>
      <c r="I255" s="40" t="s">
        <v>42</v>
      </c>
      <c r="J255" s="40" t="s">
        <v>42</v>
      </c>
      <c r="K255" s="40" t="s">
        <v>42</v>
      </c>
      <c r="L255" s="40" t="s">
        <v>42</v>
      </c>
      <c r="M255" s="40" t="s">
        <v>42</v>
      </c>
      <c r="N255" s="40" t="s">
        <v>42</v>
      </c>
    </row>
    <row r="256" spans="1:14" ht="15" customHeight="1">
      <c r="A256" s="39" t="s">
        <v>664</v>
      </c>
      <c r="B256" s="39" t="s">
        <v>665</v>
      </c>
      <c r="C256" s="46">
        <v>1</v>
      </c>
      <c r="D256" s="39" t="s">
        <v>1300</v>
      </c>
      <c r="E256" s="39" t="s">
        <v>1288</v>
      </c>
      <c r="F256" s="39" t="s">
        <v>42</v>
      </c>
      <c r="G256" s="39">
        <v>1500</v>
      </c>
      <c r="H256" s="39" t="s">
        <v>1667</v>
      </c>
      <c r="I256" s="39" t="s">
        <v>42</v>
      </c>
      <c r="J256" s="39" t="s">
        <v>42</v>
      </c>
      <c r="K256" s="39" t="s">
        <v>42</v>
      </c>
      <c r="L256" s="39" t="s">
        <v>42</v>
      </c>
      <c r="M256" s="39" t="s">
        <v>42</v>
      </c>
      <c r="N256" s="46" t="s">
        <v>1668</v>
      </c>
    </row>
    <row r="257" spans="1:14" s="9" customFormat="1" ht="15" customHeight="1">
      <c r="A257" s="40" t="s">
        <v>664</v>
      </c>
      <c r="B257" s="40" t="s">
        <v>665</v>
      </c>
      <c r="C257" s="47">
        <v>2</v>
      </c>
      <c r="D257" s="40" t="s">
        <v>1300</v>
      </c>
      <c r="E257" s="40" t="s">
        <v>1547</v>
      </c>
      <c r="F257" s="40" t="s">
        <v>1669</v>
      </c>
      <c r="G257" s="40">
        <v>66800</v>
      </c>
      <c r="H257" s="40" t="s">
        <v>1667</v>
      </c>
      <c r="I257" s="40" t="s">
        <v>42</v>
      </c>
      <c r="J257" s="40" t="s">
        <v>42</v>
      </c>
      <c r="K257" s="40" t="s">
        <v>42</v>
      </c>
      <c r="L257" s="40" t="s">
        <v>42</v>
      </c>
      <c r="M257" s="40" t="s">
        <v>42</v>
      </c>
      <c r="N257" s="47" t="s">
        <v>1668</v>
      </c>
    </row>
    <row r="258" spans="1:14" ht="15" customHeight="1">
      <c r="A258" s="39" t="s">
        <v>674</v>
      </c>
      <c r="B258" s="39" t="s">
        <v>675</v>
      </c>
      <c r="C258" s="56">
        <v>1</v>
      </c>
      <c r="D258" s="39" t="s">
        <v>1670</v>
      </c>
      <c r="E258" s="39" t="s">
        <v>1301</v>
      </c>
      <c r="F258" s="39" t="s">
        <v>42</v>
      </c>
      <c r="G258" s="39" t="s">
        <v>42</v>
      </c>
      <c r="H258" s="39" t="s">
        <v>1670</v>
      </c>
      <c r="I258" s="39" t="s">
        <v>42</v>
      </c>
      <c r="J258" s="39" t="s">
        <v>42</v>
      </c>
      <c r="K258" s="39" t="s">
        <v>42</v>
      </c>
      <c r="L258" s="39" t="s">
        <v>42</v>
      </c>
      <c r="M258" s="39" t="s">
        <v>42</v>
      </c>
      <c r="N258" s="39" t="s">
        <v>42</v>
      </c>
    </row>
    <row r="259" spans="1:14" s="9" customFormat="1" ht="15" customHeight="1">
      <c r="A259" s="40" t="s">
        <v>674</v>
      </c>
      <c r="B259" s="40" t="s">
        <v>675</v>
      </c>
      <c r="C259" s="52">
        <v>2</v>
      </c>
      <c r="D259" s="40" t="s">
        <v>1671</v>
      </c>
      <c r="E259" s="40" t="s">
        <v>1301</v>
      </c>
      <c r="F259" s="40" t="s">
        <v>42</v>
      </c>
      <c r="G259" s="40" t="s">
        <v>42</v>
      </c>
      <c r="H259" s="40" t="s">
        <v>1671</v>
      </c>
      <c r="I259" s="40" t="s">
        <v>42</v>
      </c>
      <c r="J259" s="40" t="s">
        <v>42</v>
      </c>
      <c r="K259" s="40" t="s">
        <v>42</v>
      </c>
      <c r="L259" s="40" t="s">
        <v>42</v>
      </c>
      <c r="M259" s="40" t="s">
        <v>42</v>
      </c>
      <c r="N259" s="40" t="s">
        <v>42</v>
      </c>
    </row>
    <row r="260" spans="1:14" ht="15" customHeight="1">
      <c r="A260" s="39" t="s">
        <v>687</v>
      </c>
      <c r="B260" s="39" t="s">
        <v>688</v>
      </c>
      <c r="C260" s="46">
        <v>1</v>
      </c>
      <c r="D260" s="39" t="s">
        <v>1672</v>
      </c>
      <c r="E260" s="39" t="s">
        <v>1301</v>
      </c>
      <c r="F260" s="39" t="s">
        <v>42</v>
      </c>
      <c r="G260" s="39" t="s">
        <v>42</v>
      </c>
      <c r="H260" s="39" t="s">
        <v>1673</v>
      </c>
      <c r="I260" s="39" t="s">
        <v>42</v>
      </c>
      <c r="J260" s="39" t="s">
        <v>42</v>
      </c>
      <c r="K260" s="39" t="s">
        <v>42</v>
      </c>
      <c r="L260" s="39" t="s">
        <v>42</v>
      </c>
      <c r="M260" s="39" t="s">
        <v>1674</v>
      </c>
      <c r="N260" s="46" t="s">
        <v>42</v>
      </c>
    </row>
    <row r="261" spans="1:14" s="9" customFormat="1" ht="15" customHeight="1">
      <c r="A261" s="40" t="s">
        <v>687</v>
      </c>
      <c r="B261" s="40" t="s">
        <v>688</v>
      </c>
      <c r="C261" s="47">
        <v>2</v>
      </c>
      <c r="D261" s="40" t="s">
        <v>1675</v>
      </c>
      <c r="E261" s="40" t="s">
        <v>1301</v>
      </c>
      <c r="F261" s="40" t="s">
        <v>42</v>
      </c>
      <c r="G261" s="40" t="s">
        <v>42</v>
      </c>
      <c r="H261" s="40" t="s">
        <v>1676</v>
      </c>
      <c r="I261" s="40" t="s">
        <v>42</v>
      </c>
      <c r="J261" s="40" t="s">
        <v>42</v>
      </c>
      <c r="K261" s="40" t="s">
        <v>42</v>
      </c>
      <c r="L261" s="40" t="s">
        <v>42</v>
      </c>
      <c r="M261" s="40" t="s">
        <v>1674</v>
      </c>
      <c r="N261" s="47" t="s">
        <v>42</v>
      </c>
    </row>
    <row r="262" spans="1:14" s="9" customFormat="1" ht="15" customHeight="1">
      <c r="A262" s="40" t="s">
        <v>699</v>
      </c>
      <c r="B262" s="40" t="s">
        <v>700</v>
      </c>
      <c r="C262" s="47">
        <v>1</v>
      </c>
      <c r="D262" s="40" t="s">
        <v>1677</v>
      </c>
      <c r="E262" s="40" t="s">
        <v>1301</v>
      </c>
      <c r="F262" s="40" t="s">
        <v>42</v>
      </c>
      <c r="G262" s="40" t="s">
        <v>42</v>
      </c>
      <c r="H262" s="40" t="s">
        <v>1488</v>
      </c>
      <c r="I262" s="40" t="s">
        <v>1678</v>
      </c>
      <c r="J262" s="40" t="s">
        <v>42</v>
      </c>
      <c r="K262" s="40" t="s">
        <v>42</v>
      </c>
      <c r="L262" s="40" t="s">
        <v>42</v>
      </c>
      <c r="M262" s="40" t="s">
        <v>42</v>
      </c>
      <c r="N262" s="47" t="s">
        <v>42</v>
      </c>
    </row>
    <row r="263" spans="1:14" s="9" customFormat="1" ht="15" customHeight="1">
      <c r="A263" s="40" t="s">
        <v>705</v>
      </c>
      <c r="B263" s="40" t="s">
        <v>706</v>
      </c>
      <c r="C263" s="52">
        <v>1</v>
      </c>
      <c r="D263" s="40" t="s">
        <v>1635</v>
      </c>
      <c r="E263" s="40" t="s">
        <v>1402</v>
      </c>
      <c r="F263" s="40">
        <f>2009-1997</f>
        <v>12</v>
      </c>
      <c r="G263" s="40" t="s">
        <v>1679</v>
      </c>
      <c r="H263" s="40" t="s">
        <v>1635</v>
      </c>
      <c r="I263" s="40" t="s">
        <v>42</v>
      </c>
      <c r="J263" s="40" t="s">
        <v>42</v>
      </c>
      <c r="K263" s="40" t="s">
        <v>1680</v>
      </c>
      <c r="L263" s="40" t="s">
        <v>42</v>
      </c>
      <c r="M263" s="40" t="s">
        <v>42</v>
      </c>
      <c r="N263" s="47" t="s">
        <v>42</v>
      </c>
    </row>
    <row r="264" spans="1:14" s="9" customFormat="1" ht="15" customHeight="1">
      <c r="A264" s="40" t="s">
        <v>715</v>
      </c>
      <c r="B264" s="40" t="s">
        <v>716</v>
      </c>
      <c r="C264" s="47">
        <v>1</v>
      </c>
      <c r="D264" s="40" t="s">
        <v>1635</v>
      </c>
      <c r="E264" s="40" t="s">
        <v>1402</v>
      </c>
      <c r="F264" s="40">
        <f>2001-1997</f>
        <v>4</v>
      </c>
      <c r="G264" s="40" t="s">
        <v>42</v>
      </c>
      <c r="H264" s="40" t="s">
        <v>1635</v>
      </c>
      <c r="I264" s="40" t="s">
        <v>1681</v>
      </c>
      <c r="J264" s="40" t="s">
        <v>1682</v>
      </c>
      <c r="K264" s="40" t="s">
        <v>42</v>
      </c>
      <c r="L264" s="40" t="s">
        <v>42</v>
      </c>
      <c r="M264" s="40" t="s">
        <v>42</v>
      </c>
      <c r="N264" s="47" t="s">
        <v>42</v>
      </c>
    </row>
    <row r="265" spans="1:14" s="9" customFormat="1" ht="15" customHeight="1">
      <c r="A265" s="40" t="s">
        <v>720</v>
      </c>
      <c r="B265" s="40" t="s">
        <v>721</v>
      </c>
      <c r="C265" s="47">
        <v>1</v>
      </c>
      <c r="D265" s="40" t="s">
        <v>1635</v>
      </c>
      <c r="E265" s="40" t="s">
        <v>1402</v>
      </c>
      <c r="F265" s="40">
        <f>2012-1997</f>
        <v>15</v>
      </c>
      <c r="G265" s="40" t="s">
        <v>42</v>
      </c>
      <c r="H265" s="40" t="s">
        <v>1635</v>
      </c>
      <c r="I265" s="40" t="s">
        <v>1683</v>
      </c>
      <c r="J265" s="40" t="s">
        <v>1684</v>
      </c>
      <c r="K265" s="40" t="s">
        <v>42</v>
      </c>
      <c r="L265" s="40" t="s">
        <v>42</v>
      </c>
      <c r="M265" s="40" t="s">
        <v>42</v>
      </c>
      <c r="N265" s="47" t="s">
        <v>1356</v>
      </c>
    </row>
    <row r="266" spans="1:14" ht="15" customHeight="1">
      <c r="A266" s="39" t="s">
        <v>735</v>
      </c>
      <c r="B266" s="39" t="s">
        <v>736</v>
      </c>
      <c r="C266" s="46">
        <v>1</v>
      </c>
      <c r="D266" s="39" t="s">
        <v>1664</v>
      </c>
      <c r="E266" s="39" t="s">
        <v>1492</v>
      </c>
      <c r="F266" s="39" t="s">
        <v>42</v>
      </c>
      <c r="G266" s="39" t="s">
        <v>42</v>
      </c>
      <c r="H266" s="39" t="s">
        <v>1488</v>
      </c>
      <c r="I266" s="48" t="s">
        <v>1685</v>
      </c>
      <c r="J266" s="39" t="s">
        <v>42</v>
      </c>
      <c r="K266" s="39" t="s">
        <v>42</v>
      </c>
      <c r="L266" s="39" t="s">
        <v>42</v>
      </c>
      <c r="M266" s="39" t="s">
        <v>42</v>
      </c>
      <c r="N266" s="39" t="s">
        <v>42</v>
      </c>
    </row>
    <row r="267" spans="1:14" ht="15" customHeight="1">
      <c r="A267" s="39" t="s">
        <v>735</v>
      </c>
      <c r="B267" s="39" t="s">
        <v>736</v>
      </c>
      <c r="C267" s="46">
        <v>2</v>
      </c>
      <c r="D267" s="39" t="s">
        <v>1664</v>
      </c>
      <c r="E267" s="39" t="s">
        <v>1402</v>
      </c>
      <c r="F267" s="39" t="s">
        <v>42</v>
      </c>
      <c r="G267" s="39" t="s">
        <v>42</v>
      </c>
      <c r="H267" s="39" t="s">
        <v>1488</v>
      </c>
      <c r="I267" s="39" t="s">
        <v>1685</v>
      </c>
      <c r="J267" s="39" t="s">
        <v>42</v>
      </c>
      <c r="K267" s="39" t="s">
        <v>42</v>
      </c>
      <c r="L267" s="39" t="s">
        <v>42</v>
      </c>
      <c r="M267" s="39" t="s">
        <v>42</v>
      </c>
      <c r="N267" s="39" t="s">
        <v>42</v>
      </c>
    </row>
    <row r="268" spans="1:14" ht="15" customHeight="1">
      <c r="A268" s="39" t="s">
        <v>735</v>
      </c>
      <c r="B268" s="39" t="s">
        <v>736</v>
      </c>
      <c r="C268" s="46">
        <v>3</v>
      </c>
      <c r="D268" s="39" t="s">
        <v>1664</v>
      </c>
      <c r="E268" s="39" t="s">
        <v>1547</v>
      </c>
      <c r="F268" s="39" t="s">
        <v>42</v>
      </c>
      <c r="G268" s="39" t="s">
        <v>42</v>
      </c>
      <c r="H268" s="39" t="s">
        <v>1488</v>
      </c>
      <c r="I268" s="48" t="s">
        <v>1685</v>
      </c>
      <c r="J268" s="39" t="s">
        <v>42</v>
      </c>
      <c r="K268" s="39" t="s">
        <v>42</v>
      </c>
      <c r="L268" s="39" t="s">
        <v>42</v>
      </c>
      <c r="M268" s="39" t="s">
        <v>42</v>
      </c>
      <c r="N268" s="39" t="s">
        <v>42</v>
      </c>
    </row>
    <row r="269" spans="1:14" s="9" customFormat="1" ht="15" customHeight="1">
      <c r="A269" s="40" t="s">
        <v>735</v>
      </c>
      <c r="B269" s="40" t="s">
        <v>736</v>
      </c>
      <c r="C269" s="47">
        <v>4</v>
      </c>
      <c r="D269" s="40" t="s">
        <v>1664</v>
      </c>
      <c r="E269" s="40" t="s">
        <v>1686</v>
      </c>
      <c r="F269" s="40" t="s">
        <v>42</v>
      </c>
      <c r="G269" s="40" t="s">
        <v>42</v>
      </c>
      <c r="H269" s="40" t="s">
        <v>1488</v>
      </c>
      <c r="I269" s="50" t="s">
        <v>1685</v>
      </c>
      <c r="J269" s="40" t="s">
        <v>42</v>
      </c>
      <c r="K269" s="40" t="s">
        <v>42</v>
      </c>
      <c r="L269" s="40" t="s">
        <v>42</v>
      </c>
      <c r="M269" s="40" t="s">
        <v>42</v>
      </c>
      <c r="N269" s="40" t="s">
        <v>42</v>
      </c>
    </row>
    <row r="270" spans="1:14" s="9" customFormat="1" ht="15" customHeight="1">
      <c r="A270" s="40" t="s">
        <v>740</v>
      </c>
      <c r="B270" s="40" t="s">
        <v>741</v>
      </c>
      <c r="C270" s="47">
        <v>1</v>
      </c>
      <c r="D270" s="40" t="s">
        <v>1687</v>
      </c>
      <c r="E270" s="40" t="s">
        <v>1301</v>
      </c>
      <c r="F270" s="40" t="s">
        <v>42</v>
      </c>
      <c r="G270" s="40" t="s">
        <v>42</v>
      </c>
      <c r="H270" s="40" t="s">
        <v>1688</v>
      </c>
      <c r="I270" s="40" t="s">
        <v>42</v>
      </c>
      <c r="J270" s="40" t="s">
        <v>42</v>
      </c>
      <c r="K270" s="40" t="s">
        <v>42</v>
      </c>
      <c r="L270" s="40" t="s">
        <v>42</v>
      </c>
      <c r="M270" s="40" t="s">
        <v>1689</v>
      </c>
      <c r="N270" s="47" t="s">
        <v>42</v>
      </c>
    </row>
    <row r="271" spans="1:14" s="9" customFormat="1" ht="15" customHeight="1">
      <c r="A271" s="40" t="s">
        <v>746</v>
      </c>
      <c r="B271" s="40" t="s">
        <v>747</v>
      </c>
      <c r="C271" s="47">
        <v>1</v>
      </c>
      <c r="D271" s="40" t="s">
        <v>1690</v>
      </c>
      <c r="E271" s="40" t="s">
        <v>1381</v>
      </c>
      <c r="F271" s="40" t="s">
        <v>42</v>
      </c>
      <c r="G271" s="40" t="s">
        <v>42</v>
      </c>
      <c r="H271" s="40" t="s">
        <v>1488</v>
      </c>
      <c r="I271" s="40" t="s">
        <v>42</v>
      </c>
      <c r="J271" s="40" t="s">
        <v>42</v>
      </c>
      <c r="K271" s="40" t="s">
        <v>42</v>
      </c>
      <c r="L271" s="40" t="s">
        <v>42</v>
      </c>
      <c r="M271" s="40" t="s">
        <v>42</v>
      </c>
      <c r="N271" s="47" t="s">
        <v>42</v>
      </c>
    </row>
    <row r="272" spans="1:14" s="9" customFormat="1" ht="15" customHeight="1">
      <c r="A272" s="40" t="s">
        <v>752</v>
      </c>
      <c r="B272" s="40" t="s">
        <v>753</v>
      </c>
      <c r="C272" s="47">
        <v>1</v>
      </c>
      <c r="D272" s="40" t="s">
        <v>1691</v>
      </c>
      <c r="E272" s="40" t="s">
        <v>1301</v>
      </c>
      <c r="F272" s="40" t="s">
        <v>42</v>
      </c>
      <c r="G272" s="40" t="s">
        <v>42</v>
      </c>
      <c r="H272" s="40" t="s">
        <v>1488</v>
      </c>
      <c r="I272" s="40" t="s">
        <v>42</v>
      </c>
      <c r="J272" s="40" t="s">
        <v>42</v>
      </c>
      <c r="K272" s="40" t="s">
        <v>42</v>
      </c>
      <c r="L272" s="40" t="s">
        <v>42</v>
      </c>
      <c r="M272" s="40" t="s">
        <v>42</v>
      </c>
      <c r="N272" s="47" t="s">
        <v>42</v>
      </c>
    </row>
    <row r="273" spans="1:14" s="9" customFormat="1" ht="15" customHeight="1">
      <c r="A273" s="40" t="s">
        <v>759</v>
      </c>
      <c r="B273" s="40" t="s">
        <v>760</v>
      </c>
      <c r="C273" s="47">
        <v>1</v>
      </c>
      <c r="D273" s="40" t="s">
        <v>1635</v>
      </c>
      <c r="E273" s="40" t="s">
        <v>1402</v>
      </c>
      <c r="F273" s="40">
        <f>2004-1997</f>
        <v>7</v>
      </c>
      <c r="G273" s="40" t="s">
        <v>42</v>
      </c>
      <c r="H273" s="40" t="s">
        <v>1635</v>
      </c>
      <c r="I273" s="40" t="s">
        <v>1681</v>
      </c>
      <c r="J273" s="40" t="s">
        <v>1682</v>
      </c>
      <c r="K273" s="40" t="s">
        <v>42</v>
      </c>
      <c r="L273" s="40" t="s">
        <v>42</v>
      </c>
      <c r="M273" s="40" t="s">
        <v>42</v>
      </c>
      <c r="N273" s="47" t="s">
        <v>1356</v>
      </c>
    </row>
    <row r="274" spans="1:14" s="9" customFormat="1" ht="15" customHeight="1">
      <c r="A274" s="40" t="s">
        <v>764</v>
      </c>
      <c r="B274" s="40" t="s">
        <v>765</v>
      </c>
      <c r="C274" s="47">
        <v>1</v>
      </c>
      <c r="D274" s="40" t="s">
        <v>1635</v>
      </c>
      <c r="E274" s="40" t="s">
        <v>1402</v>
      </c>
      <c r="F274" s="40">
        <f>2005-1997</f>
        <v>8</v>
      </c>
      <c r="G274" s="40" t="s">
        <v>42</v>
      </c>
      <c r="H274" s="40" t="s">
        <v>1635</v>
      </c>
      <c r="I274" s="40" t="s">
        <v>1681</v>
      </c>
      <c r="J274" s="40" t="s">
        <v>1682</v>
      </c>
      <c r="K274" s="40" t="s">
        <v>42</v>
      </c>
      <c r="L274" s="40" t="s">
        <v>42</v>
      </c>
      <c r="M274" s="40" t="s">
        <v>42</v>
      </c>
      <c r="N274" s="40" t="s">
        <v>42</v>
      </c>
    </row>
    <row r="275" spans="1:14" s="9" customFormat="1" ht="15" customHeight="1">
      <c r="A275" s="40" t="s">
        <v>771</v>
      </c>
      <c r="B275" s="40" t="s">
        <v>772</v>
      </c>
      <c r="C275" s="47">
        <v>1</v>
      </c>
      <c r="D275" s="40" t="s">
        <v>1664</v>
      </c>
      <c r="E275" s="40" t="s">
        <v>1692</v>
      </c>
      <c r="F275" s="40" t="s">
        <v>42</v>
      </c>
      <c r="G275" s="40" t="s">
        <v>42</v>
      </c>
      <c r="H275" s="40" t="s">
        <v>1488</v>
      </c>
      <c r="I275" s="40" t="s">
        <v>1693</v>
      </c>
      <c r="J275" s="40" t="s">
        <v>42</v>
      </c>
      <c r="K275" s="40" t="s">
        <v>42</v>
      </c>
      <c r="L275" s="40" t="s">
        <v>42</v>
      </c>
      <c r="M275" s="40" t="s">
        <v>42</v>
      </c>
      <c r="N275" s="47" t="s">
        <v>42</v>
      </c>
    </row>
    <row r="276" spans="1:14" s="9" customFormat="1" ht="15" customHeight="1">
      <c r="A276" s="40" t="s">
        <v>781</v>
      </c>
      <c r="B276" s="40" t="s">
        <v>782</v>
      </c>
      <c r="C276" s="47">
        <v>1</v>
      </c>
      <c r="D276" s="40" t="s">
        <v>1694</v>
      </c>
      <c r="E276" s="40" t="s">
        <v>1381</v>
      </c>
      <c r="F276" s="40">
        <f>2018-2006</f>
        <v>12</v>
      </c>
      <c r="G276" s="40" t="s">
        <v>42</v>
      </c>
      <c r="H276" s="40" t="s">
        <v>1695</v>
      </c>
      <c r="I276" s="40" t="s">
        <v>42</v>
      </c>
      <c r="J276" s="40" t="s">
        <v>42</v>
      </c>
      <c r="K276" s="40" t="s">
        <v>1696</v>
      </c>
      <c r="L276" s="40" t="s">
        <v>42</v>
      </c>
      <c r="M276" s="40" t="s">
        <v>1697</v>
      </c>
      <c r="N276" s="47" t="s">
        <v>42</v>
      </c>
    </row>
    <row r="277" spans="1:14" ht="15" customHeight="1">
      <c r="A277" s="39" t="s">
        <v>811</v>
      </c>
      <c r="B277" s="39" t="s">
        <v>812</v>
      </c>
      <c r="C277" s="46">
        <v>1</v>
      </c>
      <c r="D277" s="39" t="s">
        <v>1664</v>
      </c>
      <c r="E277" s="39" t="s">
        <v>1339</v>
      </c>
      <c r="F277" s="39" t="s">
        <v>42</v>
      </c>
      <c r="G277" s="39" t="s">
        <v>42</v>
      </c>
      <c r="H277" s="39" t="s">
        <v>1488</v>
      </c>
      <c r="I277" s="39" t="s">
        <v>42</v>
      </c>
      <c r="J277" s="39" t="s">
        <v>42</v>
      </c>
      <c r="K277" s="39" t="s">
        <v>42</v>
      </c>
      <c r="L277" s="39" t="s">
        <v>42</v>
      </c>
      <c r="M277" s="39" t="s">
        <v>42</v>
      </c>
      <c r="N277" s="46" t="s">
        <v>42</v>
      </c>
    </row>
    <row r="278" spans="1:14" ht="15" customHeight="1">
      <c r="A278" s="39" t="s">
        <v>811</v>
      </c>
      <c r="B278" s="39" t="s">
        <v>812</v>
      </c>
      <c r="C278" s="46">
        <v>2</v>
      </c>
      <c r="D278" s="39" t="s">
        <v>1664</v>
      </c>
      <c r="E278" s="39" t="s">
        <v>1698</v>
      </c>
      <c r="F278" s="39" t="s">
        <v>42</v>
      </c>
      <c r="G278" s="39" t="s">
        <v>42</v>
      </c>
      <c r="H278" s="39" t="s">
        <v>1488</v>
      </c>
      <c r="I278" s="39" t="s">
        <v>42</v>
      </c>
      <c r="J278" s="39" t="s">
        <v>42</v>
      </c>
      <c r="K278" s="39" t="s">
        <v>42</v>
      </c>
      <c r="L278" s="39" t="s">
        <v>42</v>
      </c>
      <c r="M278" s="39" t="s">
        <v>42</v>
      </c>
      <c r="N278" s="46" t="s">
        <v>42</v>
      </c>
    </row>
    <row r="279" spans="1:14" ht="15" customHeight="1">
      <c r="A279" s="39" t="s">
        <v>811</v>
      </c>
      <c r="B279" s="39" t="s">
        <v>812</v>
      </c>
      <c r="C279" s="46">
        <v>3</v>
      </c>
      <c r="D279" s="39" t="s">
        <v>1664</v>
      </c>
      <c r="E279" s="39" t="s">
        <v>1492</v>
      </c>
      <c r="F279" s="39" t="s">
        <v>42</v>
      </c>
      <c r="G279" s="39" t="s">
        <v>42</v>
      </c>
      <c r="H279" s="39" t="s">
        <v>1488</v>
      </c>
      <c r="I279" s="39" t="s">
        <v>42</v>
      </c>
      <c r="J279" s="39" t="s">
        <v>42</v>
      </c>
      <c r="K279" s="39" t="s">
        <v>42</v>
      </c>
      <c r="L279" s="39" t="s">
        <v>42</v>
      </c>
      <c r="M279" s="39" t="s">
        <v>42</v>
      </c>
      <c r="N279" s="46" t="s">
        <v>42</v>
      </c>
    </row>
    <row r="280" spans="1:14" ht="15" customHeight="1">
      <c r="A280" s="39" t="s">
        <v>811</v>
      </c>
      <c r="B280" s="39" t="s">
        <v>812</v>
      </c>
      <c r="C280" s="46">
        <v>4</v>
      </c>
      <c r="D280" s="39" t="s">
        <v>1664</v>
      </c>
      <c r="E280" s="39" t="s">
        <v>1402</v>
      </c>
      <c r="F280" s="39" t="s">
        <v>42</v>
      </c>
      <c r="G280" s="39" t="s">
        <v>42</v>
      </c>
      <c r="H280" s="39" t="s">
        <v>1488</v>
      </c>
      <c r="I280" s="39" t="s">
        <v>42</v>
      </c>
      <c r="J280" s="39" t="s">
        <v>42</v>
      </c>
      <c r="K280" s="39" t="s">
        <v>42</v>
      </c>
      <c r="L280" s="39" t="s">
        <v>42</v>
      </c>
      <c r="M280" s="39" t="s">
        <v>42</v>
      </c>
      <c r="N280" s="46" t="s">
        <v>42</v>
      </c>
    </row>
    <row r="281" spans="1:14" s="9" customFormat="1" ht="15" customHeight="1">
      <c r="A281" s="40" t="s">
        <v>811</v>
      </c>
      <c r="B281" s="40" t="s">
        <v>812</v>
      </c>
      <c r="C281" s="47">
        <v>5</v>
      </c>
      <c r="D281" s="40" t="s">
        <v>1664</v>
      </c>
      <c r="E281" s="40" t="s">
        <v>1665</v>
      </c>
      <c r="F281" s="40" t="s">
        <v>42</v>
      </c>
      <c r="G281" s="40" t="s">
        <v>42</v>
      </c>
      <c r="H281" s="40" t="s">
        <v>1488</v>
      </c>
      <c r="I281" s="40" t="s">
        <v>42</v>
      </c>
      <c r="J281" s="40" t="s">
        <v>42</v>
      </c>
      <c r="K281" s="40" t="s">
        <v>42</v>
      </c>
      <c r="L281" s="40" t="s">
        <v>42</v>
      </c>
      <c r="M281" s="40" t="s">
        <v>42</v>
      </c>
      <c r="N281" s="47" t="s">
        <v>42</v>
      </c>
    </row>
    <row r="282" spans="1:14" s="9" customFormat="1" ht="15" customHeight="1">
      <c r="A282" s="40" t="s">
        <v>819</v>
      </c>
      <c r="B282" s="40" t="s">
        <v>820</v>
      </c>
      <c r="C282" s="47">
        <v>1</v>
      </c>
      <c r="D282" s="40" t="s">
        <v>1297</v>
      </c>
      <c r="E282" s="40" t="s">
        <v>1402</v>
      </c>
      <c r="F282" s="40">
        <f>2011-2006</f>
        <v>5</v>
      </c>
      <c r="G282" s="40" t="s">
        <v>42</v>
      </c>
      <c r="H282" s="40" t="s">
        <v>1297</v>
      </c>
      <c r="I282" s="40" t="s">
        <v>1699</v>
      </c>
      <c r="J282" s="50" t="s">
        <v>1700</v>
      </c>
      <c r="K282" s="40" t="s">
        <v>42</v>
      </c>
      <c r="L282" s="40" t="s">
        <v>42</v>
      </c>
      <c r="M282" s="40" t="s">
        <v>1367</v>
      </c>
      <c r="N282" s="47" t="s">
        <v>1701</v>
      </c>
    </row>
    <row r="283" spans="1:14" s="9" customFormat="1" ht="15" customHeight="1">
      <c r="A283" s="40" t="s">
        <v>827</v>
      </c>
      <c r="B283" s="40" t="s">
        <v>828</v>
      </c>
      <c r="C283" s="47">
        <v>1</v>
      </c>
      <c r="D283" s="40" t="s">
        <v>1635</v>
      </c>
      <c r="E283" s="40" t="s">
        <v>1402</v>
      </c>
      <c r="F283" s="40">
        <f>2003-1997</f>
        <v>6</v>
      </c>
      <c r="G283" s="40" t="s">
        <v>1479</v>
      </c>
      <c r="H283" s="40" t="s">
        <v>1480</v>
      </c>
      <c r="I283" s="40" t="s">
        <v>1481</v>
      </c>
      <c r="J283" s="40" t="s">
        <v>1482</v>
      </c>
      <c r="K283" s="40" t="s">
        <v>42</v>
      </c>
      <c r="L283" s="40" t="s">
        <v>42</v>
      </c>
      <c r="M283" s="40" t="s">
        <v>42</v>
      </c>
      <c r="N283" s="47" t="s">
        <v>42</v>
      </c>
    </row>
    <row r="284" spans="1:14" s="9" customFormat="1" ht="15" customHeight="1">
      <c r="A284" s="40" t="s">
        <v>831</v>
      </c>
      <c r="B284" s="40" t="s">
        <v>832</v>
      </c>
      <c r="C284" s="47">
        <v>1</v>
      </c>
      <c r="D284" s="40" t="s">
        <v>1702</v>
      </c>
      <c r="E284" s="40" t="s">
        <v>1339</v>
      </c>
      <c r="F284" s="40">
        <v>3</v>
      </c>
      <c r="G284" s="40" t="s">
        <v>1703</v>
      </c>
      <c r="H284" s="40" t="s">
        <v>1704</v>
      </c>
      <c r="I284" s="40" t="s">
        <v>42</v>
      </c>
      <c r="J284" s="40" t="s">
        <v>42</v>
      </c>
      <c r="K284" s="40" t="s">
        <v>42</v>
      </c>
      <c r="L284" s="40" t="s">
        <v>42</v>
      </c>
      <c r="M284" s="40" t="s">
        <v>42</v>
      </c>
      <c r="N284" s="40" t="s">
        <v>42</v>
      </c>
    </row>
    <row r="285" spans="1:14" ht="15" customHeight="1">
      <c r="A285" s="39" t="s">
        <v>837</v>
      </c>
      <c r="B285" s="39" t="s">
        <v>838</v>
      </c>
      <c r="C285" s="46">
        <v>1</v>
      </c>
      <c r="D285" s="39" t="s">
        <v>1705</v>
      </c>
      <c r="E285" s="39" t="s">
        <v>1301</v>
      </c>
      <c r="F285" s="39" t="s">
        <v>42</v>
      </c>
      <c r="G285" s="39" t="s">
        <v>42</v>
      </c>
      <c r="H285" s="39" t="s">
        <v>1706</v>
      </c>
      <c r="I285" s="39" t="s">
        <v>42</v>
      </c>
      <c r="J285" s="39" t="s">
        <v>42</v>
      </c>
      <c r="K285" s="39" t="s">
        <v>42</v>
      </c>
      <c r="L285" s="39" t="s">
        <v>42</v>
      </c>
      <c r="M285" s="39" t="s">
        <v>1707</v>
      </c>
      <c r="N285" s="39" t="s">
        <v>42</v>
      </c>
    </row>
    <row r="286" spans="1:14" ht="15" customHeight="1">
      <c r="A286" s="39" t="s">
        <v>837</v>
      </c>
      <c r="B286" s="39" t="s">
        <v>838</v>
      </c>
      <c r="C286" s="46">
        <v>2</v>
      </c>
      <c r="D286" s="39" t="s">
        <v>1708</v>
      </c>
      <c r="E286" s="39" t="s">
        <v>1301</v>
      </c>
      <c r="F286" s="39" t="s">
        <v>42</v>
      </c>
      <c r="G286" s="39" t="s">
        <v>42</v>
      </c>
      <c r="H286" s="39" t="s">
        <v>1706</v>
      </c>
      <c r="I286" s="39" t="s">
        <v>42</v>
      </c>
      <c r="J286" s="39" t="s">
        <v>42</v>
      </c>
      <c r="K286" s="39" t="s">
        <v>42</v>
      </c>
      <c r="L286" s="39" t="s">
        <v>42</v>
      </c>
      <c r="M286" s="39" t="s">
        <v>1707</v>
      </c>
      <c r="N286" s="39" t="s">
        <v>42</v>
      </c>
    </row>
    <row r="287" spans="1:14" ht="15" customHeight="1">
      <c r="A287" s="39" t="s">
        <v>837</v>
      </c>
      <c r="B287" s="39" t="s">
        <v>838</v>
      </c>
      <c r="C287" s="46">
        <v>3</v>
      </c>
      <c r="D287" s="39" t="s">
        <v>1709</v>
      </c>
      <c r="E287" s="39" t="s">
        <v>1301</v>
      </c>
      <c r="F287" s="39" t="s">
        <v>42</v>
      </c>
      <c r="G287" s="39" t="s">
        <v>42</v>
      </c>
      <c r="H287" s="39" t="s">
        <v>1706</v>
      </c>
      <c r="I287" s="39" t="s">
        <v>42</v>
      </c>
      <c r="J287" s="39" t="s">
        <v>42</v>
      </c>
      <c r="K287" s="39" t="s">
        <v>42</v>
      </c>
      <c r="L287" s="39" t="s">
        <v>42</v>
      </c>
      <c r="M287" s="39" t="s">
        <v>1707</v>
      </c>
      <c r="N287" s="39" t="s">
        <v>42</v>
      </c>
    </row>
    <row r="288" spans="1:14" ht="15" customHeight="1">
      <c r="A288" s="39" t="s">
        <v>837</v>
      </c>
      <c r="B288" s="39" t="s">
        <v>838</v>
      </c>
      <c r="C288" s="46">
        <v>4</v>
      </c>
      <c r="D288" s="39" t="s">
        <v>1710</v>
      </c>
      <c r="E288" s="39" t="s">
        <v>1301</v>
      </c>
      <c r="F288" s="39" t="s">
        <v>42</v>
      </c>
      <c r="G288" s="39" t="s">
        <v>42</v>
      </c>
      <c r="H288" s="39" t="s">
        <v>1706</v>
      </c>
      <c r="I288" s="39" t="s">
        <v>42</v>
      </c>
      <c r="J288" s="39" t="s">
        <v>42</v>
      </c>
      <c r="K288" s="39" t="s">
        <v>42</v>
      </c>
      <c r="L288" s="39" t="s">
        <v>42</v>
      </c>
      <c r="M288" s="39" t="s">
        <v>1707</v>
      </c>
      <c r="N288" s="39" t="s">
        <v>42</v>
      </c>
    </row>
    <row r="289" spans="1:14" ht="15" customHeight="1">
      <c r="A289" s="39" t="s">
        <v>837</v>
      </c>
      <c r="B289" s="39" t="s">
        <v>838</v>
      </c>
      <c r="C289" s="46">
        <v>5</v>
      </c>
      <c r="D289" s="39" t="s">
        <v>1565</v>
      </c>
      <c r="E289" s="39" t="s">
        <v>1301</v>
      </c>
      <c r="F289" s="39" t="s">
        <v>42</v>
      </c>
      <c r="G289" s="39" t="s">
        <v>42</v>
      </c>
      <c r="H289" s="39" t="s">
        <v>1706</v>
      </c>
      <c r="I289" s="39" t="s">
        <v>42</v>
      </c>
      <c r="J289" s="39" t="s">
        <v>42</v>
      </c>
      <c r="K289" s="39" t="s">
        <v>42</v>
      </c>
      <c r="L289" s="39" t="s">
        <v>42</v>
      </c>
      <c r="M289" s="39" t="s">
        <v>1707</v>
      </c>
      <c r="N289" s="39" t="s">
        <v>42</v>
      </c>
    </row>
    <row r="290" spans="1:14" ht="15" customHeight="1">
      <c r="A290" s="39" t="s">
        <v>837</v>
      </c>
      <c r="B290" s="39" t="s">
        <v>838</v>
      </c>
      <c r="C290" s="46">
        <v>6</v>
      </c>
      <c r="D290" s="39" t="s">
        <v>1711</v>
      </c>
      <c r="E290" s="39" t="s">
        <v>1301</v>
      </c>
      <c r="F290" s="39" t="s">
        <v>42</v>
      </c>
      <c r="G290" s="39" t="s">
        <v>42</v>
      </c>
      <c r="H290" s="39" t="s">
        <v>1706</v>
      </c>
      <c r="I290" s="39" t="s">
        <v>42</v>
      </c>
      <c r="J290" s="39" t="s">
        <v>42</v>
      </c>
      <c r="K290" s="39" t="s">
        <v>42</v>
      </c>
      <c r="L290" s="39" t="s">
        <v>42</v>
      </c>
      <c r="M290" s="39" t="s">
        <v>1707</v>
      </c>
      <c r="N290" s="39" t="s">
        <v>42</v>
      </c>
    </row>
    <row r="291" spans="1:14" ht="15" customHeight="1">
      <c r="A291" s="39" t="s">
        <v>837</v>
      </c>
      <c r="B291" s="39" t="s">
        <v>838</v>
      </c>
      <c r="C291" s="46">
        <v>7</v>
      </c>
      <c r="D291" s="39" t="s">
        <v>1712</v>
      </c>
      <c r="E291" s="39" t="s">
        <v>1301</v>
      </c>
      <c r="F291" s="39" t="s">
        <v>42</v>
      </c>
      <c r="G291" s="39" t="s">
        <v>42</v>
      </c>
      <c r="H291" s="39" t="s">
        <v>1706</v>
      </c>
      <c r="I291" s="39" t="s">
        <v>42</v>
      </c>
      <c r="J291" s="39" t="s">
        <v>42</v>
      </c>
      <c r="K291" s="39" t="s">
        <v>42</v>
      </c>
      <c r="L291" s="39" t="s">
        <v>42</v>
      </c>
      <c r="M291" s="39" t="s">
        <v>1707</v>
      </c>
      <c r="N291" s="39" t="s">
        <v>42</v>
      </c>
    </row>
    <row r="292" spans="1:14" ht="15" customHeight="1">
      <c r="A292" s="39" t="s">
        <v>837</v>
      </c>
      <c r="B292" s="39" t="s">
        <v>838</v>
      </c>
      <c r="C292" s="46">
        <v>8</v>
      </c>
      <c r="D292" s="39" t="s">
        <v>1713</v>
      </c>
      <c r="E292" s="39" t="s">
        <v>1301</v>
      </c>
      <c r="F292" s="39" t="s">
        <v>42</v>
      </c>
      <c r="G292" s="39" t="s">
        <v>42</v>
      </c>
      <c r="H292" s="39" t="s">
        <v>1706</v>
      </c>
      <c r="I292" s="39" t="s">
        <v>42</v>
      </c>
      <c r="J292" s="39" t="s">
        <v>42</v>
      </c>
      <c r="K292" s="39" t="s">
        <v>42</v>
      </c>
      <c r="L292" s="39" t="s">
        <v>42</v>
      </c>
      <c r="M292" s="39" t="s">
        <v>1707</v>
      </c>
      <c r="N292" s="39" t="s">
        <v>42</v>
      </c>
    </row>
    <row r="293" spans="1:14" ht="15" customHeight="1">
      <c r="A293" s="39" t="s">
        <v>837</v>
      </c>
      <c r="B293" s="39" t="s">
        <v>838</v>
      </c>
      <c r="C293" s="46">
        <v>9</v>
      </c>
      <c r="D293" s="39" t="s">
        <v>1562</v>
      </c>
      <c r="E293" s="39" t="s">
        <v>1301</v>
      </c>
      <c r="F293" s="39" t="s">
        <v>42</v>
      </c>
      <c r="G293" s="39" t="s">
        <v>42</v>
      </c>
      <c r="H293" s="39" t="s">
        <v>1706</v>
      </c>
      <c r="I293" s="39" t="s">
        <v>42</v>
      </c>
      <c r="J293" s="39" t="s">
        <v>42</v>
      </c>
      <c r="K293" s="39" t="s">
        <v>42</v>
      </c>
      <c r="L293" s="39" t="s">
        <v>42</v>
      </c>
      <c r="M293" s="39" t="s">
        <v>1707</v>
      </c>
      <c r="N293" s="39" t="s">
        <v>42</v>
      </c>
    </row>
    <row r="294" spans="1:14" ht="15" customHeight="1">
      <c r="A294" s="39" t="s">
        <v>837</v>
      </c>
      <c r="B294" s="39" t="s">
        <v>838</v>
      </c>
      <c r="C294" s="46">
        <v>10</v>
      </c>
      <c r="D294" s="39" t="s">
        <v>1561</v>
      </c>
      <c r="E294" s="39" t="s">
        <v>1301</v>
      </c>
      <c r="F294" s="39" t="s">
        <v>42</v>
      </c>
      <c r="G294" s="39" t="s">
        <v>42</v>
      </c>
      <c r="H294" s="39" t="s">
        <v>1706</v>
      </c>
      <c r="I294" s="39" t="s">
        <v>42</v>
      </c>
      <c r="J294" s="39" t="s">
        <v>42</v>
      </c>
      <c r="K294" s="39" t="s">
        <v>42</v>
      </c>
      <c r="L294" s="39" t="s">
        <v>42</v>
      </c>
      <c r="M294" s="39" t="s">
        <v>1707</v>
      </c>
      <c r="N294" s="39" t="s">
        <v>42</v>
      </c>
    </row>
    <row r="295" spans="1:14" ht="15" customHeight="1">
      <c r="A295" s="39" t="s">
        <v>837</v>
      </c>
      <c r="B295" s="39" t="s">
        <v>838</v>
      </c>
      <c r="C295" s="46">
        <v>11</v>
      </c>
      <c r="D295" s="39" t="s">
        <v>1566</v>
      </c>
      <c r="E295" s="39" t="s">
        <v>1301</v>
      </c>
      <c r="F295" s="39" t="s">
        <v>42</v>
      </c>
      <c r="G295" s="39" t="s">
        <v>42</v>
      </c>
      <c r="H295" s="39" t="s">
        <v>1706</v>
      </c>
      <c r="I295" s="39" t="s">
        <v>42</v>
      </c>
      <c r="J295" s="39" t="s">
        <v>42</v>
      </c>
      <c r="K295" s="39" t="s">
        <v>42</v>
      </c>
      <c r="L295" s="39" t="s">
        <v>42</v>
      </c>
      <c r="M295" s="39" t="s">
        <v>1707</v>
      </c>
      <c r="N295" s="39" t="s">
        <v>42</v>
      </c>
    </row>
    <row r="296" spans="1:14" s="9" customFormat="1" ht="15" customHeight="1">
      <c r="A296" s="40" t="s">
        <v>837</v>
      </c>
      <c r="B296" s="40" t="s">
        <v>838</v>
      </c>
      <c r="C296" s="47">
        <v>12</v>
      </c>
      <c r="D296" s="40" t="s">
        <v>1714</v>
      </c>
      <c r="E296" s="40" t="s">
        <v>1301</v>
      </c>
      <c r="F296" s="40" t="s">
        <v>42</v>
      </c>
      <c r="G296" s="40" t="s">
        <v>42</v>
      </c>
      <c r="H296" s="40" t="s">
        <v>1706</v>
      </c>
      <c r="I296" s="40" t="s">
        <v>42</v>
      </c>
      <c r="J296" s="40" t="s">
        <v>42</v>
      </c>
      <c r="K296" s="40" t="s">
        <v>42</v>
      </c>
      <c r="L296" s="40" t="s">
        <v>42</v>
      </c>
      <c r="M296" s="40" t="s">
        <v>1707</v>
      </c>
      <c r="N296" s="40" t="s">
        <v>42</v>
      </c>
    </row>
    <row r="297" spans="1:14" s="9" customFormat="1" ht="15" customHeight="1">
      <c r="A297" s="40" t="s">
        <v>842</v>
      </c>
      <c r="B297" s="40" t="s">
        <v>843</v>
      </c>
      <c r="C297" s="47">
        <v>1</v>
      </c>
      <c r="D297" s="40" t="s">
        <v>1297</v>
      </c>
      <c r="E297" s="40" t="s">
        <v>1402</v>
      </c>
      <c r="F297" s="40">
        <f>1999-1982</f>
        <v>17</v>
      </c>
      <c r="G297" s="40" t="s">
        <v>1715</v>
      </c>
      <c r="H297" s="40" t="s">
        <v>1297</v>
      </c>
      <c r="I297" s="40" t="s">
        <v>1716</v>
      </c>
      <c r="J297" s="40" t="s">
        <v>1400</v>
      </c>
      <c r="K297" s="40" t="s">
        <v>42</v>
      </c>
      <c r="L297" s="40" t="s">
        <v>42</v>
      </c>
      <c r="M297" s="40" t="s">
        <v>42</v>
      </c>
      <c r="N297" s="47" t="s">
        <v>1717</v>
      </c>
    </row>
    <row r="298" spans="1:14" s="9" customFormat="1" ht="15" customHeight="1">
      <c r="A298" s="40" t="s">
        <v>847</v>
      </c>
      <c r="B298" s="40" t="s">
        <v>848</v>
      </c>
      <c r="C298" s="47">
        <v>1</v>
      </c>
      <c r="D298" s="40" t="s">
        <v>1664</v>
      </c>
      <c r="E298" s="40" t="s">
        <v>1301</v>
      </c>
      <c r="F298" s="40" t="s">
        <v>42</v>
      </c>
      <c r="G298" s="40" t="s">
        <v>42</v>
      </c>
      <c r="H298" s="40" t="s">
        <v>1488</v>
      </c>
      <c r="I298" s="40" t="s">
        <v>42</v>
      </c>
      <c r="J298" s="40" t="s">
        <v>42</v>
      </c>
      <c r="K298" s="40" t="s">
        <v>42</v>
      </c>
      <c r="L298" s="40" t="s">
        <v>42</v>
      </c>
      <c r="M298" s="40" t="s">
        <v>1718</v>
      </c>
      <c r="N298" s="47" t="s">
        <v>42</v>
      </c>
    </row>
    <row r="299" spans="1:14" ht="15" customHeight="1">
      <c r="A299" s="39" t="s">
        <v>850</v>
      </c>
      <c r="B299" s="39" t="s">
        <v>851</v>
      </c>
      <c r="C299" s="46">
        <v>1</v>
      </c>
      <c r="D299" s="39" t="s">
        <v>1436</v>
      </c>
      <c r="E299" s="39" t="s">
        <v>1301</v>
      </c>
      <c r="F299" s="39" t="s">
        <v>42</v>
      </c>
      <c r="G299" s="39" t="s">
        <v>42</v>
      </c>
      <c r="H299" s="39" t="s">
        <v>1436</v>
      </c>
      <c r="I299" s="38" t="s">
        <v>1719</v>
      </c>
      <c r="J299" s="38" t="s">
        <v>1720</v>
      </c>
      <c r="K299" s="39" t="s">
        <v>42</v>
      </c>
      <c r="L299" s="39" t="s">
        <v>42</v>
      </c>
      <c r="M299" s="39" t="s">
        <v>1721</v>
      </c>
      <c r="N299" s="39" t="s">
        <v>42</v>
      </c>
    </row>
    <row r="300" spans="1:14" ht="15" customHeight="1">
      <c r="A300" s="39" t="s">
        <v>850</v>
      </c>
      <c r="B300" s="39" t="s">
        <v>851</v>
      </c>
      <c r="C300" s="46">
        <v>2</v>
      </c>
      <c r="D300" s="39" t="s">
        <v>1437</v>
      </c>
      <c r="E300" s="39" t="s">
        <v>1301</v>
      </c>
      <c r="F300" s="39" t="s">
        <v>42</v>
      </c>
      <c r="G300" s="39" t="s">
        <v>42</v>
      </c>
      <c r="H300" s="39" t="s">
        <v>1437</v>
      </c>
      <c r="I300" s="39" t="s">
        <v>1722</v>
      </c>
      <c r="J300" s="39" t="s">
        <v>1723</v>
      </c>
      <c r="K300" s="39" t="s">
        <v>42</v>
      </c>
      <c r="L300" s="39" t="s">
        <v>42</v>
      </c>
      <c r="M300" s="39" t="s">
        <v>1721</v>
      </c>
      <c r="N300" s="39" t="s">
        <v>42</v>
      </c>
    </row>
    <row r="301" spans="1:14" ht="15" customHeight="1">
      <c r="A301" s="39" t="s">
        <v>850</v>
      </c>
      <c r="B301" s="39" t="s">
        <v>851</v>
      </c>
      <c r="C301" s="46">
        <v>3</v>
      </c>
      <c r="D301" s="39" t="s">
        <v>1724</v>
      </c>
      <c r="E301" s="39" t="s">
        <v>1301</v>
      </c>
      <c r="F301" s="39" t="s">
        <v>42</v>
      </c>
      <c r="G301" s="39" t="s">
        <v>42</v>
      </c>
      <c r="H301" s="39" t="s">
        <v>1724</v>
      </c>
      <c r="I301" s="39" t="s">
        <v>1722</v>
      </c>
      <c r="J301" s="39" t="s">
        <v>1723</v>
      </c>
      <c r="K301" s="39" t="s">
        <v>42</v>
      </c>
      <c r="L301" s="39" t="s">
        <v>42</v>
      </c>
      <c r="M301" s="39" t="s">
        <v>1721</v>
      </c>
      <c r="N301" s="39" t="s">
        <v>42</v>
      </c>
    </row>
    <row r="302" spans="1:14" ht="15" customHeight="1">
      <c r="A302" s="39" t="s">
        <v>850</v>
      </c>
      <c r="B302" s="39" t="s">
        <v>851</v>
      </c>
      <c r="C302" s="46">
        <v>4</v>
      </c>
      <c r="D302" s="39" t="s">
        <v>1440</v>
      </c>
      <c r="E302" s="39" t="s">
        <v>1301</v>
      </c>
      <c r="F302" s="39" t="s">
        <v>42</v>
      </c>
      <c r="G302" s="39" t="s">
        <v>42</v>
      </c>
      <c r="H302" s="39" t="s">
        <v>1440</v>
      </c>
      <c r="I302" s="39" t="s">
        <v>1722</v>
      </c>
      <c r="J302" s="39" t="s">
        <v>1723</v>
      </c>
      <c r="K302" s="39" t="s">
        <v>42</v>
      </c>
      <c r="L302" s="39" t="s">
        <v>42</v>
      </c>
      <c r="M302" s="39" t="s">
        <v>1721</v>
      </c>
      <c r="N302" s="39" t="s">
        <v>42</v>
      </c>
    </row>
    <row r="303" spans="1:14" ht="15" customHeight="1">
      <c r="A303" s="39" t="s">
        <v>850</v>
      </c>
      <c r="B303" s="39" t="s">
        <v>851</v>
      </c>
      <c r="C303" s="46">
        <v>5</v>
      </c>
      <c r="D303" s="39" t="s">
        <v>1643</v>
      </c>
      <c r="E303" s="39" t="s">
        <v>1301</v>
      </c>
      <c r="F303" s="39" t="s">
        <v>42</v>
      </c>
      <c r="G303" s="39" t="s">
        <v>42</v>
      </c>
      <c r="H303" s="39" t="s">
        <v>1643</v>
      </c>
      <c r="I303" s="39" t="s">
        <v>1722</v>
      </c>
      <c r="J303" s="39" t="s">
        <v>1723</v>
      </c>
      <c r="K303" s="39" t="s">
        <v>42</v>
      </c>
      <c r="L303" s="39" t="s">
        <v>42</v>
      </c>
      <c r="M303" s="39" t="s">
        <v>1721</v>
      </c>
      <c r="N303" s="39" t="s">
        <v>42</v>
      </c>
    </row>
    <row r="304" spans="1:14" ht="15" customHeight="1">
      <c r="A304" s="39" t="s">
        <v>850</v>
      </c>
      <c r="B304" s="39" t="s">
        <v>851</v>
      </c>
      <c r="C304" s="46">
        <v>6</v>
      </c>
      <c r="D304" s="39" t="s">
        <v>1358</v>
      </c>
      <c r="E304" s="39" t="s">
        <v>1301</v>
      </c>
      <c r="F304" s="39" t="s">
        <v>42</v>
      </c>
      <c r="G304" s="39" t="s">
        <v>42</v>
      </c>
      <c r="H304" s="39" t="s">
        <v>1358</v>
      </c>
      <c r="I304" s="39" t="s">
        <v>1722</v>
      </c>
      <c r="J304" s="39" t="s">
        <v>1723</v>
      </c>
      <c r="K304" s="39" t="s">
        <v>42</v>
      </c>
      <c r="L304" s="39" t="s">
        <v>42</v>
      </c>
      <c r="M304" s="39" t="s">
        <v>1721</v>
      </c>
      <c r="N304" s="39" t="s">
        <v>42</v>
      </c>
    </row>
    <row r="305" spans="1:14" ht="15" customHeight="1">
      <c r="A305" s="39" t="s">
        <v>850</v>
      </c>
      <c r="B305" s="39" t="s">
        <v>851</v>
      </c>
      <c r="C305" s="46">
        <v>7</v>
      </c>
      <c r="D305" s="39" t="s">
        <v>1335</v>
      </c>
      <c r="E305" s="39" t="s">
        <v>1301</v>
      </c>
      <c r="F305" s="39" t="s">
        <v>42</v>
      </c>
      <c r="G305" s="39" t="s">
        <v>42</v>
      </c>
      <c r="H305" s="39" t="s">
        <v>1335</v>
      </c>
      <c r="I305" s="39" t="s">
        <v>1722</v>
      </c>
      <c r="J305" s="39" t="s">
        <v>1723</v>
      </c>
      <c r="K305" s="39" t="s">
        <v>42</v>
      </c>
      <c r="L305" s="39" t="s">
        <v>42</v>
      </c>
      <c r="M305" s="39" t="s">
        <v>1721</v>
      </c>
      <c r="N305" s="39" t="s">
        <v>42</v>
      </c>
    </row>
    <row r="306" spans="1:14" ht="15" customHeight="1">
      <c r="A306" s="39" t="s">
        <v>850</v>
      </c>
      <c r="B306" s="39" t="s">
        <v>851</v>
      </c>
      <c r="C306" s="46">
        <v>8</v>
      </c>
      <c r="D306" s="39" t="s">
        <v>1305</v>
      </c>
      <c r="E306" s="39" t="s">
        <v>1301</v>
      </c>
      <c r="F306" s="39" t="s">
        <v>42</v>
      </c>
      <c r="G306" s="39" t="s">
        <v>42</v>
      </c>
      <c r="H306" s="39" t="s">
        <v>1305</v>
      </c>
      <c r="I306" s="39" t="s">
        <v>1722</v>
      </c>
      <c r="J306" s="39" t="s">
        <v>1723</v>
      </c>
      <c r="K306" s="39" t="s">
        <v>42</v>
      </c>
      <c r="L306" s="39" t="s">
        <v>42</v>
      </c>
      <c r="M306" s="39" t="s">
        <v>1721</v>
      </c>
      <c r="N306" s="39" t="s">
        <v>42</v>
      </c>
    </row>
    <row r="307" spans="1:14" ht="15" customHeight="1">
      <c r="A307" s="39" t="s">
        <v>850</v>
      </c>
      <c r="B307" s="39" t="s">
        <v>851</v>
      </c>
      <c r="C307" s="46">
        <v>9</v>
      </c>
      <c r="D307" s="39" t="s">
        <v>1297</v>
      </c>
      <c r="E307" s="39" t="s">
        <v>1301</v>
      </c>
      <c r="F307" s="39" t="s">
        <v>42</v>
      </c>
      <c r="G307" s="39" t="s">
        <v>42</v>
      </c>
      <c r="H307" s="39" t="s">
        <v>1297</v>
      </c>
      <c r="I307" s="39" t="s">
        <v>1722</v>
      </c>
      <c r="J307" s="39" t="s">
        <v>1723</v>
      </c>
      <c r="K307" s="39" t="s">
        <v>42</v>
      </c>
      <c r="L307" s="39" t="s">
        <v>42</v>
      </c>
      <c r="M307" s="39" t="s">
        <v>1721</v>
      </c>
      <c r="N307" s="39" t="s">
        <v>42</v>
      </c>
    </row>
    <row r="308" spans="1:14" ht="15" customHeight="1">
      <c r="A308" s="39" t="s">
        <v>850</v>
      </c>
      <c r="B308" s="39" t="s">
        <v>851</v>
      </c>
      <c r="C308" s="46">
        <v>10</v>
      </c>
      <c r="D308" s="39" t="s">
        <v>1645</v>
      </c>
      <c r="E308" s="39" t="s">
        <v>1301</v>
      </c>
      <c r="F308" s="39" t="s">
        <v>42</v>
      </c>
      <c r="G308" s="39" t="s">
        <v>42</v>
      </c>
      <c r="H308" s="39" t="s">
        <v>1645</v>
      </c>
      <c r="I308" s="39" t="s">
        <v>1722</v>
      </c>
      <c r="J308" s="39" t="s">
        <v>1723</v>
      </c>
      <c r="K308" s="39" t="s">
        <v>42</v>
      </c>
      <c r="L308" s="39" t="s">
        <v>42</v>
      </c>
      <c r="M308" s="39" t="s">
        <v>1721</v>
      </c>
      <c r="N308" s="39" t="s">
        <v>42</v>
      </c>
    </row>
    <row r="309" spans="1:14" s="9" customFormat="1" ht="15" customHeight="1">
      <c r="A309" s="40" t="s">
        <v>850</v>
      </c>
      <c r="B309" s="40" t="s">
        <v>851</v>
      </c>
      <c r="C309" s="47">
        <v>11</v>
      </c>
      <c r="D309" s="40" t="s">
        <v>1725</v>
      </c>
      <c r="E309" s="40" t="s">
        <v>1301</v>
      </c>
      <c r="F309" s="40" t="s">
        <v>42</v>
      </c>
      <c r="G309" s="40" t="s">
        <v>42</v>
      </c>
      <c r="H309" s="40" t="s">
        <v>1725</v>
      </c>
      <c r="I309" s="40" t="s">
        <v>1726</v>
      </c>
      <c r="J309" s="40" t="s">
        <v>1727</v>
      </c>
      <c r="K309" s="40" t="s">
        <v>42</v>
      </c>
      <c r="L309" s="40" t="s">
        <v>42</v>
      </c>
      <c r="M309" s="40" t="s">
        <v>1721</v>
      </c>
      <c r="N309" s="40" t="s">
        <v>42</v>
      </c>
    </row>
    <row r="310" spans="1:14" ht="15" customHeight="1">
      <c r="A310" s="39" t="s">
        <v>856</v>
      </c>
      <c r="B310" s="39" t="s">
        <v>857</v>
      </c>
      <c r="C310" s="46">
        <v>1</v>
      </c>
      <c r="D310" s="39" t="s">
        <v>1728</v>
      </c>
      <c r="E310" s="39" t="s">
        <v>1301</v>
      </c>
      <c r="F310" s="39" t="s">
        <v>42</v>
      </c>
      <c r="G310" s="39" t="s">
        <v>42</v>
      </c>
      <c r="H310" s="39" t="s">
        <v>1728</v>
      </c>
      <c r="I310" s="39" t="s">
        <v>42</v>
      </c>
      <c r="J310" s="39" t="s">
        <v>42</v>
      </c>
      <c r="K310" s="39" t="s">
        <v>42</v>
      </c>
      <c r="L310" s="39" t="s">
        <v>42</v>
      </c>
      <c r="M310" s="39" t="s">
        <v>1729</v>
      </c>
      <c r="N310" s="46" t="s">
        <v>42</v>
      </c>
    </row>
    <row r="311" spans="1:14" s="9" customFormat="1" ht="15" customHeight="1">
      <c r="A311" s="40" t="s">
        <v>856</v>
      </c>
      <c r="B311" s="40" t="s">
        <v>857</v>
      </c>
      <c r="C311" s="47">
        <v>2</v>
      </c>
      <c r="D311" s="40" t="s">
        <v>1522</v>
      </c>
      <c r="E311" s="40" t="s">
        <v>1301</v>
      </c>
      <c r="F311" s="40" t="s">
        <v>42</v>
      </c>
      <c r="G311" s="40" t="s">
        <v>42</v>
      </c>
      <c r="H311" s="40" t="s">
        <v>1522</v>
      </c>
      <c r="I311" s="40" t="s">
        <v>42</v>
      </c>
      <c r="J311" s="40" t="s">
        <v>42</v>
      </c>
      <c r="K311" s="40" t="s">
        <v>42</v>
      </c>
      <c r="L311" s="40" t="s">
        <v>42</v>
      </c>
      <c r="M311" s="40" t="s">
        <v>1729</v>
      </c>
      <c r="N311" s="47" t="s">
        <v>42</v>
      </c>
    </row>
    <row r="312" spans="1:14" ht="15" customHeight="1">
      <c r="A312" s="39" t="s">
        <v>861</v>
      </c>
      <c r="B312" s="39" t="s">
        <v>862</v>
      </c>
      <c r="C312" s="46">
        <v>1</v>
      </c>
      <c r="D312" s="39" t="s">
        <v>1300</v>
      </c>
      <c r="E312" s="40" t="s">
        <v>1402</v>
      </c>
      <c r="F312" s="39" t="s">
        <v>42</v>
      </c>
      <c r="G312" s="39" t="s">
        <v>42</v>
      </c>
      <c r="H312" s="39" t="s">
        <v>1730</v>
      </c>
      <c r="I312" s="39" t="s">
        <v>1731</v>
      </c>
      <c r="J312" s="39" t="s">
        <v>42</v>
      </c>
      <c r="K312" s="39" t="s">
        <v>42</v>
      </c>
      <c r="L312" s="39" t="s">
        <v>42</v>
      </c>
      <c r="M312" s="39" t="s">
        <v>42</v>
      </c>
      <c r="N312" s="39" t="s">
        <v>42</v>
      </c>
    </row>
    <row r="313" spans="1:14" ht="15" customHeight="1">
      <c r="A313" s="39" t="s">
        <v>861</v>
      </c>
      <c r="B313" s="39" t="s">
        <v>862</v>
      </c>
      <c r="C313" s="46">
        <v>2</v>
      </c>
      <c r="D313" s="39" t="s">
        <v>1300</v>
      </c>
      <c r="E313" s="39" t="s">
        <v>1732</v>
      </c>
      <c r="F313" s="39" t="s">
        <v>42</v>
      </c>
      <c r="G313" s="39" t="s">
        <v>42</v>
      </c>
      <c r="H313" s="39" t="s">
        <v>1730</v>
      </c>
      <c r="I313" s="39" t="s">
        <v>1731</v>
      </c>
      <c r="J313" s="39"/>
      <c r="K313" s="39" t="s">
        <v>42</v>
      </c>
      <c r="L313" s="39" t="s">
        <v>42</v>
      </c>
      <c r="M313" s="39" t="s">
        <v>42</v>
      </c>
      <c r="N313" s="39" t="s">
        <v>42</v>
      </c>
    </row>
    <row r="314" spans="1:14" ht="15" customHeight="1">
      <c r="A314" s="39" t="s">
        <v>861</v>
      </c>
      <c r="B314" s="39" t="s">
        <v>862</v>
      </c>
      <c r="C314" s="46">
        <v>3</v>
      </c>
      <c r="D314" s="39" t="s">
        <v>1300</v>
      </c>
      <c r="E314" s="39" t="s">
        <v>1733</v>
      </c>
      <c r="F314" s="39" t="s">
        <v>42</v>
      </c>
      <c r="G314" s="39" t="s">
        <v>42</v>
      </c>
      <c r="H314" s="39" t="s">
        <v>1730</v>
      </c>
      <c r="I314" s="39" t="s">
        <v>1731</v>
      </c>
      <c r="J314" s="39"/>
      <c r="K314" s="39" t="s">
        <v>42</v>
      </c>
      <c r="L314" s="39" t="s">
        <v>42</v>
      </c>
      <c r="M314" s="39" t="s">
        <v>42</v>
      </c>
      <c r="N314" s="39" t="s">
        <v>42</v>
      </c>
    </row>
    <row r="315" spans="1:14" s="9" customFormat="1" ht="15" customHeight="1">
      <c r="A315" s="40" t="s">
        <v>861</v>
      </c>
      <c r="B315" s="40" t="s">
        <v>862</v>
      </c>
      <c r="C315" s="47">
        <v>4</v>
      </c>
      <c r="D315" s="40" t="s">
        <v>1300</v>
      </c>
      <c r="E315" s="40" t="s">
        <v>1381</v>
      </c>
      <c r="F315" s="40" t="s">
        <v>42</v>
      </c>
      <c r="G315" s="40" t="s">
        <v>42</v>
      </c>
      <c r="H315" s="40" t="s">
        <v>1730</v>
      </c>
      <c r="I315" s="40" t="s">
        <v>1731</v>
      </c>
      <c r="J315" s="40"/>
      <c r="K315" s="40" t="s">
        <v>42</v>
      </c>
      <c r="L315" s="40" t="s">
        <v>42</v>
      </c>
      <c r="M315" s="40" t="s">
        <v>42</v>
      </c>
      <c r="N315" s="40" t="s">
        <v>42</v>
      </c>
    </row>
    <row r="316" spans="1:14" s="9" customFormat="1" ht="15" customHeight="1">
      <c r="A316" s="40" t="s">
        <v>866</v>
      </c>
      <c r="B316" s="40" t="s">
        <v>867</v>
      </c>
      <c r="C316" s="47">
        <v>1</v>
      </c>
      <c r="D316" s="40" t="s">
        <v>1734</v>
      </c>
      <c r="E316" s="40" t="s">
        <v>1339</v>
      </c>
      <c r="F316" s="40" t="s">
        <v>42</v>
      </c>
      <c r="G316" s="40" t="s">
        <v>42</v>
      </c>
      <c r="H316" s="40" t="s">
        <v>1667</v>
      </c>
      <c r="I316" s="40" t="s">
        <v>1735</v>
      </c>
      <c r="J316" s="50" t="s">
        <v>1736</v>
      </c>
      <c r="K316" s="40" t="s">
        <v>42</v>
      </c>
      <c r="L316" s="40" t="s">
        <v>42</v>
      </c>
      <c r="M316" s="40" t="s">
        <v>42</v>
      </c>
      <c r="N316" s="47" t="s">
        <v>42</v>
      </c>
    </row>
    <row r="317" spans="1:14" s="9" customFormat="1" ht="15" customHeight="1">
      <c r="A317" s="40" t="s">
        <v>883</v>
      </c>
      <c r="B317" s="40" t="s">
        <v>760</v>
      </c>
      <c r="C317" s="47">
        <v>1</v>
      </c>
      <c r="D317" s="40" t="s">
        <v>1635</v>
      </c>
      <c r="E317" s="40" t="s">
        <v>1402</v>
      </c>
      <c r="F317" s="40" t="s">
        <v>42</v>
      </c>
      <c r="G317" s="40" t="s">
        <v>1737</v>
      </c>
      <c r="H317" s="40" t="s">
        <v>1635</v>
      </c>
      <c r="I317" s="40" t="s">
        <v>1738</v>
      </c>
      <c r="J317" s="40" t="s">
        <v>1739</v>
      </c>
      <c r="K317" s="40" t="s">
        <v>42</v>
      </c>
      <c r="L317" s="40" t="s">
        <v>42</v>
      </c>
      <c r="M317" s="40" t="s">
        <v>42</v>
      </c>
      <c r="N317" s="47" t="s">
        <v>1740</v>
      </c>
    </row>
    <row r="318" spans="1:14" ht="15" customHeight="1">
      <c r="A318" s="39" t="s">
        <v>889</v>
      </c>
      <c r="B318" s="39" t="s">
        <v>890</v>
      </c>
      <c r="C318" s="46">
        <v>1</v>
      </c>
      <c r="D318" s="39" t="s">
        <v>1553</v>
      </c>
      <c r="E318" s="39" t="s">
        <v>1301</v>
      </c>
      <c r="F318" s="39">
        <v>20</v>
      </c>
      <c r="G318" s="39" t="s">
        <v>1741</v>
      </c>
      <c r="H318" s="39" t="s">
        <v>1742</v>
      </c>
      <c r="I318" s="39" t="s">
        <v>42</v>
      </c>
      <c r="J318" s="39" t="s">
        <v>42</v>
      </c>
      <c r="K318" s="39" t="s">
        <v>42</v>
      </c>
      <c r="L318" s="39" t="s">
        <v>42</v>
      </c>
      <c r="M318" s="39" t="s">
        <v>1304</v>
      </c>
      <c r="N318" s="46" t="s">
        <v>1740</v>
      </c>
    </row>
    <row r="319" spans="1:14" ht="15" customHeight="1">
      <c r="A319" s="39" t="s">
        <v>889</v>
      </c>
      <c r="B319" s="39" t="s">
        <v>890</v>
      </c>
      <c r="C319" s="46">
        <v>2</v>
      </c>
      <c r="D319" s="39" t="s">
        <v>1556</v>
      </c>
      <c r="E319" s="39" t="s">
        <v>1301</v>
      </c>
      <c r="F319" s="39">
        <v>20</v>
      </c>
      <c r="G319" s="39" t="s">
        <v>1743</v>
      </c>
      <c r="H319" s="39" t="s">
        <v>1742</v>
      </c>
      <c r="I319" s="39" t="s">
        <v>42</v>
      </c>
      <c r="J319" s="39" t="s">
        <v>42</v>
      </c>
      <c r="K319" s="39" t="s">
        <v>42</v>
      </c>
      <c r="L319" s="39" t="s">
        <v>42</v>
      </c>
      <c r="M319" s="39" t="s">
        <v>1304</v>
      </c>
      <c r="N319" s="46" t="s">
        <v>1740</v>
      </c>
    </row>
    <row r="320" spans="1:14" ht="15" customHeight="1">
      <c r="A320" s="39" t="s">
        <v>889</v>
      </c>
      <c r="B320" s="39" t="s">
        <v>890</v>
      </c>
      <c r="C320" s="46">
        <v>3</v>
      </c>
      <c r="D320" s="39" t="s">
        <v>1558</v>
      </c>
      <c r="E320" s="39" t="s">
        <v>1301</v>
      </c>
      <c r="F320" s="39">
        <v>20</v>
      </c>
      <c r="G320" s="39" t="s">
        <v>1744</v>
      </c>
      <c r="H320" s="39" t="s">
        <v>1742</v>
      </c>
      <c r="I320" s="39" t="s">
        <v>42</v>
      </c>
      <c r="J320" s="39" t="s">
        <v>42</v>
      </c>
      <c r="K320" s="39" t="s">
        <v>42</v>
      </c>
      <c r="L320" s="39" t="s">
        <v>42</v>
      </c>
      <c r="M320" s="39" t="s">
        <v>1304</v>
      </c>
      <c r="N320" s="46" t="s">
        <v>1745</v>
      </c>
    </row>
    <row r="321" spans="1:14" ht="15" customHeight="1">
      <c r="A321" s="39" t="s">
        <v>889</v>
      </c>
      <c r="B321" s="39" t="s">
        <v>890</v>
      </c>
      <c r="C321" s="46">
        <v>4</v>
      </c>
      <c r="D321" s="39" t="s">
        <v>1559</v>
      </c>
      <c r="E321" s="39" t="s">
        <v>1301</v>
      </c>
      <c r="F321" s="39">
        <v>20</v>
      </c>
      <c r="G321" s="39" t="s">
        <v>1746</v>
      </c>
      <c r="H321" s="39" t="s">
        <v>1742</v>
      </c>
      <c r="I321" s="39" t="s">
        <v>42</v>
      </c>
      <c r="J321" s="39" t="s">
        <v>42</v>
      </c>
      <c r="K321" s="39" t="s">
        <v>42</v>
      </c>
      <c r="L321" s="39" t="s">
        <v>42</v>
      </c>
      <c r="M321" s="39" t="s">
        <v>1304</v>
      </c>
      <c r="N321" s="46" t="s">
        <v>1745</v>
      </c>
    </row>
    <row r="322" spans="1:14" ht="15" customHeight="1">
      <c r="A322" s="39" t="s">
        <v>889</v>
      </c>
      <c r="B322" s="39" t="s">
        <v>890</v>
      </c>
      <c r="C322" s="46">
        <v>5</v>
      </c>
      <c r="D322" s="39" t="s">
        <v>1560</v>
      </c>
      <c r="E322" s="39" t="s">
        <v>1301</v>
      </c>
      <c r="F322" s="39">
        <v>20</v>
      </c>
      <c r="G322" s="39" t="s">
        <v>1747</v>
      </c>
      <c r="H322" s="39" t="s">
        <v>1742</v>
      </c>
      <c r="I322" s="39" t="s">
        <v>42</v>
      </c>
      <c r="J322" s="39" t="s">
        <v>42</v>
      </c>
      <c r="K322" s="39" t="s">
        <v>42</v>
      </c>
      <c r="L322" s="39" t="s">
        <v>42</v>
      </c>
      <c r="M322" s="39" t="s">
        <v>1304</v>
      </c>
      <c r="N322" s="46" t="s">
        <v>1745</v>
      </c>
    </row>
    <row r="323" spans="1:14" ht="15" customHeight="1">
      <c r="A323" s="39" t="s">
        <v>889</v>
      </c>
      <c r="B323" s="39" t="s">
        <v>890</v>
      </c>
      <c r="C323" s="46">
        <v>6</v>
      </c>
      <c r="D323" s="39" t="s">
        <v>1561</v>
      </c>
      <c r="E323" s="39" t="s">
        <v>1301</v>
      </c>
      <c r="F323" s="39">
        <v>20</v>
      </c>
      <c r="G323" s="39" t="s">
        <v>1748</v>
      </c>
      <c r="H323" s="39" t="s">
        <v>1742</v>
      </c>
      <c r="I323" s="39" t="s">
        <v>42</v>
      </c>
      <c r="J323" s="39" t="s">
        <v>42</v>
      </c>
      <c r="K323" s="39" t="s">
        <v>42</v>
      </c>
      <c r="L323" s="39" t="s">
        <v>42</v>
      </c>
      <c r="M323" s="39" t="s">
        <v>1304</v>
      </c>
      <c r="N323" s="46" t="s">
        <v>1745</v>
      </c>
    </row>
    <row r="324" spans="1:14" ht="15" customHeight="1">
      <c r="A324" s="39" t="s">
        <v>889</v>
      </c>
      <c r="B324" s="39" t="s">
        <v>890</v>
      </c>
      <c r="C324" s="46">
        <v>7</v>
      </c>
      <c r="D324" s="39" t="s">
        <v>1562</v>
      </c>
      <c r="E324" s="39" t="s">
        <v>1301</v>
      </c>
      <c r="F324" s="39">
        <v>20</v>
      </c>
      <c r="G324" s="39" t="s">
        <v>1749</v>
      </c>
      <c r="H324" s="39" t="s">
        <v>1742</v>
      </c>
      <c r="I324" s="39" t="s">
        <v>42</v>
      </c>
      <c r="J324" s="39" t="s">
        <v>42</v>
      </c>
      <c r="K324" s="39" t="s">
        <v>42</v>
      </c>
      <c r="L324" s="39" t="s">
        <v>42</v>
      </c>
      <c r="M324" s="39" t="s">
        <v>1304</v>
      </c>
      <c r="N324" s="46" t="s">
        <v>1745</v>
      </c>
    </row>
    <row r="325" spans="1:14" ht="15" customHeight="1">
      <c r="A325" s="39" t="s">
        <v>889</v>
      </c>
      <c r="B325" s="39" t="s">
        <v>890</v>
      </c>
      <c r="C325" s="46">
        <v>8</v>
      </c>
      <c r="D325" s="39" t="s">
        <v>1750</v>
      </c>
      <c r="E325" s="39" t="s">
        <v>1301</v>
      </c>
      <c r="F325" s="39">
        <v>16</v>
      </c>
      <c r="G325" s="39" t="s">
        <v>1751</v>
      </c>
      <c r="H325" s="39" t="s">
        <v>1742</v>
      </c>
      <c r="I325" s="39" t="s">
        <v>42</v>
      </c>
      <c r="J325" s="39" t="s">
        <v>42</v>
      </c>
      <c r="K325" s="39" t="s">
        <v>42</v>
      </c>
      <c r="L325" s="39" t="s">
        <v>42</v>
      </c>
      <c r="M325" s="39" t="s">
        <v>1304</v>
      </c>
      <c r="N325" s="46" t="s">
        <v>1745</v>
      </c>
    </row>
    <row r="326" spans="1:14" ht="15" customHeight="1">
      <c r="A326" s="39" t="s">
        <v>889</v>
      </c>
      <c r="B326" s="39" t="s">
        <v>890</v>
      </c>
      <c r="C326" s="46">
        <v>9</v>
      </c>
      <c r="D326" s="39" t="s">
        <v>1564</v>
      </c>
      <c r="E326" s="39" t="s">
        <v>1301</v>
      </c>
      <c r="F326" s="39">
        <v>20</v>
      </c>
      <c r="G326" s="39" t="s">
        <v>1752</v>
      </c>
      <c r="H326" s="39" t="s">
        <v>1742</v>
      </c>
      <c r="I326" s="39" t="s">
        <v>42</v>
      </c>
      <c r="J326" s="39" t="s">
        <v>42</v>
      </c>
      <c r="K326" s="39" t="s">
        <v>42</v>
      </c>
      <c r="L326" s="39" t="s">
        <v>42</v>
      </c>
      <c r="M326" s="39" t="s">
        <v>1304</v>
      </c>
      <c r="N326" s="46" t="s">
        <v>1745</v>
      </c>
    </row>
    <row r="327" spans="1:14" ht="15" customHeight="1">
      <c r="A327" s="39" t="s">
        <v>889</v>
      </c>
      <c r="B327" s="39" t="s">
        <v>890</v>
      </c>
      <c r="C327" s="46">
        <v>10</v>
      </c>
      <c r="D327" s="39" t="s">
        <v>1753</v>
      </c>
      <c r="E327" s="39" t="s">
        <v>1301</v>
      </c>
      <c r="F327" s="39">
        <v>19</v>
      </c>
      <c r="G327" s="39" t="s">
        <v>1754</v>
      </c>
      <c r="H327" s="39" t="s">
        <v>1742</v>
      </c>
      <c r="I327" s="39" t="s">
        <v>42</v>
      </c>
      <c r="J327" s="39" t="s">
        <v>42</v>
      </c>
      <c r="K327" s="39" t="s">
        <v>42</v>
      </c>
      <c r="L327" s="39" t="s">
        <v>42</v>
      </c>
      <c r="M327" s="39" t="s">
        <v>1304</v>
      </c>
      <c r="N327" s="46" t="s">
        <v>1755</v>
      </c>
    </row>
    <row r="328" spans="1:14" ht="15" customHeight="1">
      <c r="A328" s="39" t="s">
        <v>889</v>
      </c>
      <c r="B328" s="39" t="s">
        <v>890</v>
      </c>
      <c r="C328" s="46">
        <v>11</v>
      </c>
      <c r="D328" s="39" t="s">
        <v>1566</v>
      </c>
      <c r="E328" s="39" t="s">
        <v>1301</v>
      </c>
      <c r="F328" s="39">
        <v>20</v>
      </c>
      <c r="G328" s="39" t="s">
        <v>1756</v>
      </c>
      <c r="H328" s="39" t="s">
        <v>1742</v>
      </c>
      <c r="I328" s="39" t="s">
        <v>42</v>
      </c>
      <c r="J328" s="39" t="s">
        <v>42</v>
      </c>
      <c r="K328" s="39" t="s">
        <v>42</v>
      </c>
      <c r="L328" s="39" t="s">
        <v>42</v>
      </c>
      <c r="M328" s="39" t="s">
        <v>1304</v>
      </c>
      <c r="N328" s="46" t="s">
        <v>1755</v>
      </c>
    </row>
    <row r="329" spans="1:14" ht="15" customHeight="1">
      <c r="A329" s="39" t="s">
        <v>889</v>
      </c>
      <c r="B329" s="39" t="s">
        <v>890</v>
      </c>
      <c r="C329" s="46">
        <v>12</v>
      </c>
      <c r="D329" s="39" t="s">
        <v>1568</v>
      </c>
      <c r="E329" s="39" t="s">
        <v>1301</v>
      </c>
      <c r="F329" s="39">
        <v>19</v>
      </c>
      <c r="G329" s="39" t="s">
        <v>1757</v>
      </c>
      <c r="H329" s="39" t="s">
        <v>1742</v>
      </c>
      <c r="I329" s="39" t="s">
        <v>42</v>
      </c>
      <c r="J329" s="39" t="s">
        <v>42</v>
      </c>
      <c r="K329" s="39" t="s">
        <v>42</v>
      </c>
      <c r="L329" s="39" t="s">
        <v>42</v>
      </c>
      <c r="M329" s="39" t="s">
        <v>1304</v>
      </c>
      <c r="N329" s="46" t="s">
        <v>1755</v>
      </c>
    </row>
    <row r="330" spans="1:14" ht="15" customHeight="1">
      <c r="A330" s="39" t="s">
        <v>889</v>
      </c>
      <c r="B330" s="39" t="s">
        <v>890</v>
      </c>
      <c r="C330" s="46">
        <v>13</v>
      </c>
      <c r="D330" s="39" t="s">
        <v>1569</v>
      </c>
      <c r="E330" s="39" t="s">
        <v>1301</v>
      </c>
      <c r="F330" s="39">
        <v>13</v>
      </c>
      <c r="G330" s="39" t="s">
        <v>1758</v>
      </c>
      <c r="H330" s="39" t="s">
        <v>1742</v>
      </c>
      <c r="I330" s="39" t="s">
        <v>42</v>
      </c>
      <c r="J330" s="39" t="s">
        <v>42</v>
      </c>
      <c r="K330" s="39" t="s">
        <v>42</v>
      </c>
      <c r="L330" s="39" t="s">
        <v>42</v>
      </c>
      <c r="M330" s="39" t="s">
        <v>1304</v>
      </c>
      <c r="N330" s="46" t="s">
        <v>1570</v>
      </c>
    </row>
    <row r="331" spans="1:14" ht="15" customHeight="1">
      <c r="A331" s="39" t="s">
        <v>889</v>
      </c>
      <c r="B331" s="39" t="s">
        <v>890</v>
      </c>
      <c r="C331" s="46">
        <v>14</v>
      </c>
      <c r="D331" s="39" t="s">
        <v>1571</v>
      </c>
      <c r="E331" s="39" t="s">
        <v>1301</v>
      </c>
      <c r="F331" s="39">
        <v>29</v>
      </c>
      <c r="G331" s="39" t="s">
        <v>1759</v>
      </c>
      <c r="H331" s="39" t="s">
        <v>1742</v>
      </c>
      <c r="I331" s="39" t="s">
        <v>42</v>
      </c>
      <c r="J331" s="39" t="s">
        <v>42</v>
      </c>
      <c r="K331" s="39" t="s">
        <v>42</v>
      </c>
      <c r="L331" s="39" t="s">
        <v>42</v>
      </c>
      <c r="M331" s="39" t="s">
        <v>1304</v>
      </c>
      <c r="N331" s="46" t="s">
        <v>1570</v>
      </c>
    </row>
    <row r="332" spans="1:14" ht="15" customHeight="1">
      <c r="A332" s="39" t="s">
        <v>889</v>
      </c>
      <c r="B332" s="39" t="s">
        <v>890</v>
      </c>
      <c r="C332" s="46">
        <v>15</v>
      </c>
      <c r="D332" s="39" t="s">
        <v>1572</v>
      </c>
      <c r="E332" s="39" t="s">
        <v>1301</v>
      </c>
      <c r="F332" s="39">
        <v>20</v>
      </c>
      <c r="G332" s="39" t="s">
        <v>1760</v>
      </c>
      <c r="H332" s="39" t="s">
        <v>1742</v>
      </c>
      <c r="I332" s="39" t="s">
        <v>42</v>
      </c>
      <c r="J332" s="39" t="s">
        <v>42</v>
      </c>
      <c r="K332" s="39" t="s">
        <v>42</v>
      </c>
      <c r="L332" s="39" t="s">
        <v>42</v>
      </c>
      <c r="M332" s="39" t="s">
        <v>1304</v>
      </c>
      <c r="N332" s="46" t="s">
        <v>1570</v>
      </c>
    </row>
    <row r="333" spans="1:14" ht="15" customHeight="1">
      <c r="A333" s="39" t="s">
        <v>889</v>
      </c>
      <c r="B333" s="39" t="s">
        <v>890</v>
      </c>
      <c r="C333" s="46">
        <v>16</v>
      </c>
      <c r="D333" s="39" t="s">
        <v>1573</v>
      </c>
      <c r="E333" s="39" t="s">
        <v>1301</v>
      </c>
      <c r="F333" s="39">
        <v>13</v>
      </c>
      <c r="G333" s="39" t="s">
        <v>1761</v>
      </c>
      <c r="H333" s="39" t="s">
        <v>1742</v>
      </c>
      <c r="I333" s="39" t="s">
        <v>42</v>
      </c>
      <c r="J333" s="39" t="s">
        <v>42</v>
      </c>
      <c r="K333" s="39" t="s">
        <v>42</v>
      </c>
      <c r="L333" s="39" t="s">
        <v>42</v>
      </c>
      <c r="M333" s="39" t="s">
        <v>1304</v>
      </c>
      <c r="N333" s="46" t="s">
        <v>1570</v>
      </c>
    </row>
    <row r="334" spans="1:14" ht="15" customHeight="1">
      <c r="A334" s="39" t="s">
        <v>889</v>
      </c>
      <c r="B334" s="39" t="s">
        <v>890</v>
      </c>
      <c r="C334" s="46">
        <v>17</v>
      </c>
      <c r="D334" s="39" t="s">
        <v>1574</v>
      </c>
      <c r="E334" s="39" t="s">
        <v>1301</v>
      </c>
      <c r="F334" s="39">
        <v>18</v>
      </c>
      <c r="G334" s="39" t="s">
        <v>1762</v>
      </c>
      <c r="H334" s="39" t="s">
        <v>1742</v>
      </c>
      <c r="I334" s="39" t="s">
        <v>42</v>
      </c>
      <c r="J334" s="39" t="s">
        <v>42</v>
      </c>
      <c r="K334" s="39" t="s">
        <v>42</v>
      </c>
      <c r="L334" s="39" t="s">
        <v>42</v>
      </c>
      <c r="M334" s="39" t="s">
        <v>1304</v>
      </c>
      <c r="N334" s="46" t="s">
        <v>1570</v>
      </c>
    </row>
    <row r="335" spans="1:14" ht="15" customHeight="1">
      <c r="A335" s="39" t="s">
        <v>889</v>
      </c>
      <c r="B335" s="39" t="s">
        <v>890</v>
      </c>
      <c r="C335" s="46">
        <v>18</v>
      </c>
      <c r="D335" s="39" t="s">
        <v>1575</v>
      </c>
      <c r="E335" s="39" t="s">
        <v>1301</v>
      </c>
      <c r="F335" s="39">
        <v>14</v>
      </c>
      <c r="G335" s="39" t="s">
        <v>1763</v>
      </c>
      <c r="H335" s="39" t="s">
        <v>1742</v>
      </c>
      <c r="I335" s="39" t="s">
        <v>42</v>
      </c>
      <c r="J335" s="39" t="s">
        <v>42</v>
      </c>
      <c r="K335" s="39" t="s">
        <v>42</v>
      </c>
      <c r="L335" s="39" t="s">
        <v>42</v>
      </c>
      <c r="M335" s="39" t="s">
        <v>1304</v>
      </c>
      <c r="N335" s="46" t="s">
        <v>1570</v>
      </c>
    </row>
    <row r="336" spans="1:14" s="9" customFormat="1" ht="15" customHeight="1">
      <c r="A336" s="40" t="s">
        <v>889</v>
      </c>
      <c r="B336" s="40" t="s">
        <v>890</v>
      </c>
      <c r="C336" s="47">
        <v>19</v>
      </c>
      <c r="D336" s="40" t="s">
        <v>1576</v>
      </c>
      <c r="E336" s="40" t="s">
        <v>1301</v>
      </c>
      <c r="F336" s="40">
        <v>14</v>
      </c>
      <c r="G336" s="40" t="s">
        <v>1764</v>
      </c>
      <c r="H336" s="40" t="s">
        <v>1742</v>
      </c>
      <c r="I336" s="40" t="s">
        <v>42</v>
      </c>
      <c r="J336" s="40" t="s">
        <v>42</v>
      </c>
      <c r="K336" s="40" t="s">
        <v>42</v>
      </c>
      <c r="L336" s="40" t="s">
        <v>42</v>
      </c>
      <c r="M336" s="40" t="s">
        <v>1304</v>
      </c>
      <c r="N336" s="47" t="s">
        <v>1570</v>
      </c>
    </row>
    <row r="337" spans="1:14" s="9" customFormat="1" ht="15" customHeight="1">
      <c r="A337" s="40" t="s">
        <v>897</v>
      </c>
      <c r="B337" s="40" t="s">
        <v>898</v>
      </c>
      <c r="C337" s="47">
        <v>1</v>
      </c>
      <c r="D337" s="40" t="s">
        <v>1765</v>
      </c>
      <c r="E337" s="40" t="s">
        <v>1301</v>
      </c>
      <c r="F337" s="40" t="s">
        <v>42</v>
      </c>
      <c r="G337" s="40" t="s">
        <v>1766</v>
      </c>
      <c r="H337" s="40" t="s">
        <v>1488</v>
      </c>
      <c r="I337" s="40" t="s">
        <v>1767</v>
      </c>
      <c r="J337" s="40" t="s">
        <v>1768</v>
      </c>
      <c r="K337" s="40" t="s">
        <v>42</v>
      </c>
      <c r="L337" s="40" t="s">
        <v>42</v>
      </c>
      <c r="M337" s="40" t="s">
        <v>42</v>
      </c>
      <c r="N337" s="47" t="s">
        <v>42</v>
      </c>
    </row>
    <row r="338" spans="1:14" s="9" customFormat="1" ht="15" customHeight="1">
      <c r="A338" s="40" t="s">
        <v>902</v>
      </c>
      <c r="B338" s="50" t="s">
        <v>903</v>
      </c>
      <c r="C338" s="47">
        <v>1</v>
      </c>
      <c r="D338" s="40" t="s">
        <v>1401</v>
      </c>
      <c r="E338" s="40" t="s">
        <v>1402</v>
      </c>
      <c r="F338" s="40">
        <v>2</v>
      </c>
      <c r="G338" s="40" t="s">
        <v>1769</v>
      </c>
      <c r="H338" s="40" t="s">
        <v>1635</v>
      </c>
      <c r="I338" s="40" t="s">
        <v>1770</v>
      </c>
      <c r="J338" s="50" t="s">
        <v>1771</v>
      </c>
      <c r="K338" s="40" t="s">
        <v>42</v>
      </c>
      <c r="L338" s="40" t="s">
        <v>42</v>
      </c>
      <c r="M338" s="40" t="s">
        <v>42</v>
      </c>
      <c r="N338" s="47" t="s">
        <v>1740</v>
      </c>
    </row>
    <row r="339" spans="1:14" ht="15" customHeight="1">
      <c r="A339" s="39" t="s">
        <v>909</v>
      </c>
      <c r="B339" s="39" t="s">
        <v>910</v>
      </c>
      <c r="C339" s="46">
        <v>1</v>
      </c>
      <c r="D339" s="39" t="s">
        <v>1772</v>
      </c>
      <c r="E339" s="39" t="s">
        <v>1301</v>
      </c>
      <c r="F339" s="39" t="s">
        <v>42</v>
      </c>
      <c r="G339" s="39" t="s">
        <v>42</v>
      </c>
      <c r="H339" s="39" t="s">
        <v>1638</v>
      </c>
      <c r="I339" s="39" t="s">
        <v>42</v>
      </c>
      <c r="J339" s="39" t="s">
        <v>42</v>
      </c>
      <c r="K339" s="39" t="s">
        <v>42</v>
      </c>
      <c r="L339" s="39" t="s">
        <v>42</v>
      </c>
      <c r="M339" s="39" t="s">
        <v>42</v>
      </c>
      <c r="N339" s="39" t="s">
        <v>42</v>
      </c>
    </row>
    <row r="340" spans="1:14" ht="15" customHeight="1">
      <c r="A340" s="39" t="s">
        <v>909</v>
      </c>
      <c r="B340" s="39" t="s">
        <v>910</v>
      </c>
      <c r="C340" s="46">
        <v>2</v>
      </c>
      <c r="D340" s="39" t="s">
        <v>1773</v>
      </c>
      <c r="E340" s="39" t="s">
        <v>1301</v>
      </c>
      <c r="F340" s="39" t="s">
        <v>42</v>
      </c>
      <c r="G340" s="39" t="s">
        <v>42</v>
      </c>
      <c r="H340" s="39" t="s">
        <v>1638</v>
      </c>
      <c r="I340" s="39" t="s">
        <v>42</v>
      </c>
      <c r="J340" s="39" t="s">
        <v>42</v>
      </c>
      <c r="K340" s="39" t="s">
        <v>42</v>
      </c>
      <c r="L340" s="39" t="s">
        <v>42</v>
      </c>
      <c r="M340" s="39" t="s">
        <v>42</v>
      </c>
      <c r="N340" s="39" t="s">
        <v>42</v>
      </c>
    </row>
    <row r="341" spans="1:14" ht="15" customHeight="1">
      <c r="A341" s="39" t="s">
        <v>909</v>
      </c>
      <c r="B341" s="39" t="s">
        <v>910</v>
      </c>
      <c r="C341" s="46">
        <v>3</v>
      </c>
      <c r="D341" s="39" t="s">
        <v>1774</v>
      </c>
      <c r="E341" s="39" t="s">
        <v>1301</v>
      </c>
      <c r="F341" s="39" t="s">
        <v>42</v>
      </c>
      <c r="G341" s="39" t="s">
        <v>42</v>
      </c>
      <c r="H341" s="39" t="s">
        <v>1638</v>
      </c>
      <c r="I341" s="39" t="s">
        <v>42</v>
      </c>
      <c r="J341" s="39" t="s">
        <v>42</v>
      </c>
      <c r="K341" s="39" t="s">
        <v>42</v>
      </c>
      <c r="L341" s="39" t="s">
        <v>42</v>
      </c>
      <c r="M341" s="39" t="s">
        <v>42</v>
      </c>
      <c r="N341" s="39" t="s">
        <v>42</v>
      </c>
    </row>
    <row r="342" spans="1:14" ht="15" customHeight="1">
      <c r="A342" s="39" t="s">
        <v>909</v>
      </c>
      <c r="B342" s="39" t="s">
        <v>910</v>
      </c>
      <c r="C342" s="46">
        <v>4</v>
      </c>
      <c r="D342" s="39" t="s">
        <v>1775</v>
      </c>
      <c r="E342" s="39" t="s">
        <v>1301</v>
      </c>
      <c r="F342" s="39" t="s">
        <v>42</v>
      </c>
      <c r="G342" s="39" t="s">
        <v>42</v>
      </c>
      <c r="H342" s="39" t="s">
        <v>1638</v>
      </c>
      <c r="I342" s="39" t="s">
        <v>42</v>
      </c>
      <c r="J342" s="39" t="s">
        <v>42</v>
      </c>
      <c r="K342" s="39" t="s">
        <v>42</v>
      </c>
      <c r="L342" s="39" t="s">
        <v>42</v>
      </c>
      <c r="M342" s="39" t="s">
        <v>42</v>
      </c>
      <c r="N342" s="39" t="s">
        <v>42</v>
      </c>
    </row>
    <row r="343" spans="1:14" ht="15" customHeight="1">
      <c r="A343" s="39" t="s">
        <v>909</v>
      </c>
      <c r="B343" s="39" t="s">
        <v>910</v>
      </c>
      <c r="C343" s="46">
        <v>5</v>
      </c>
      <c r="D343" s="39" t="s">
        <v>1776</v>
      </c>
      <c r="E343" s="39" t="s">
        <v>1301</v>
      </c>
      <c r="F343" s="39" t="s">
        <v>42</v>
      </c>
      <c r="G343" s="39" t="s">
        <v>42</v>
      </c>
      <c r="H343" s="39" t="s">
        <v>1638</v>
      </c>
      <c r="I343" s="39" t="s">
        <v>42</v>
      </c>
      <c r="J343" s="39" t="s">
        <v>42</v>
      </c>
      <c r="K343" s="39" t="s">
        <v>42</v>
      </c>
      <c r="L343" s="39" t="s">
        <v>42</v>
      </c>
      <c r="M343" s="39" t="s">
        <v>42</v>
      </c>
      <c r="N343" s="39" t="s">
        <v>42</v>
      </c>
    </row>
    <row r="344" spans="1:14" ht="15" customHeight="1">
      <c r="A344" s="39" t="s">
        <v>909</v>
      </c>
      <c r="B344" s="39" t="s">
        <v>910</v>
      </c>
      <c r="C344" s="46">
        <v>6</v>
      </c>
      <c r="D344" s="39" t="s">
        <v>1522</v>
      </c>
      <c r="E344" s="39" t="s">
        <v>1301</v>
      </c>
      <c r="F344" s="39" t="s">
        <v>42</v>
      </c>
      <c r="G344" s="39" t="s">
        <v>42</v>
      </c>
      <c r="H344" s="39" t="s">
        <v>1638</v>
      </c>
      <c r="I344" s="39" t="s">
        <v>42</v>
      </c>
      <c r="J344" s="39" t="s">
        <v>42</v>
      </c>
      <c r="K344" s="39" t="s">
        <v>42</v>
      </c>
      <c r="L344" s="39" t="s">
        <v>42</v>
      </c>
      <c r="M344" s="39" t="s">
        <v>42</v>
      </c>
      <c r="N344" s="39" t="s">
        <v>42</v>
      </c>
    </row>
    <row r="345" spans="1:14" ht="15" customHeight="1">
      <c r="A345" s="39" t="s">
        <v>909</v>
      </c>
      <c r="B345" s="39" t="s">
        <v>910</v>
      </c>
      <c r="C345" s="46">
        <v>7</v>
      </c>
      <c r="D345" s="39" t="s">
        <v>1777</v>
      </c>
      <c r="E345" s="39" t="s">
        <v>1301</v>
      </c>
      <c r="F345" s="39" t="s">
        <v>42</v>
      </c>
      <c r="G345" s="39" t="s">
        <v>42</v>
      </c>
      <c r="H345" s="39" t="s">
        <v>1638</v>
      </c>
      <c r="I345" s="39" t="s">
        <v>42</v>
      </c>
      <c r="J345" s="39" t="s">
        <v>42</v>
      </c>
      <c r="K345" s="39" t="s">
        <v>42</v>
      </c>
      <c r="L345" s="39" t="s">
        <v>42</v>
      </c>
      <c r="M345" s="39" t="s">
        <v>42</v>
      </c>
      <c r="N345" s="39" t="s">
        <v>42</v>
      </c>
    </row>
    <row r="346" spans="1:14" ht="15" customHeight="1">
      <c r="A346" s="39" t="s">
        <v>909</v>
      </c>
      <c r="B346" s="39" t="s">
        <v>910</v>
      </c>
      <c r="C346" s="46">
        <v>8</v>
      </c>
      <c r="D346" s="39" t="s">
        <v>1545</v>
      </c>
      <c r="E346" s="39" t="s">
        <v>1301</v>
      </c>
      <c r="F346" s="39" t="s">
        <v>42</v>
      </c>
      <c r="G346" s="39" t="s">
        <v>42</v>
      </c>
      <c r="H346" s="39" t="s">
        <v>1638</v>
      </c>
      <c r="I346" s="39" t="s">
        <v>42</v>
      </c>
      <c r="J346" s="39" t="s">
        <v>42</v>
      </c>
      <c r="K346" s="39" t="s">
        <v>42</v>
      </c>
      <c r="L346" s="39" t="s">
        <v>42</v>
      </c>
      <c r="M346" s="39" t="s">
        <v>42</v>
      </c>
      <c r="N346" s="39" t="s">
        <v>42</v>
      </c>
    </row>
    <row r="347" spans="1:14" ht="15" customHeight="1">
      <c r="A347" s="39" t="s">
        <v>909</v>
      </c>
      <c r="B347" s="39" t="s">
        <v>910</v>
      </c>
      <c r="C347" s="46">
        <v>9</v>
      </c>
      <c r="D347" s="39" t="s">
        <v>1778</v>
      </c>
      <c r="E347" s="39" t="s">
        <v>1301</v>
      </c>
      <c r="F347" s="39" t="s">
        <v>42</v>
      </c>
      <c r="G347" s="39" t="s">
        <v>42</v>
      </c>
      <c r="H347" s="39" t="s">
        <v>1638</v>
      </c>
      <c r="I347" s="39" t="s">
        <v>42</v>
      </c>
      <c r="J347" s="39" t="s">
        <v>42</v>
      </c>
      <c r="K347" s="39" t="s">
        <v>42</v>
      </c>
      <c r="L347" s="39" t="s">
        <v>42</v>
      </c>
      <c r="M347" s="39" t="s">
        <v>42</v>
      </c>
      <c r="N347" s="39" t="s">
        <v>42</v>
      </c>
    </row>
    <row r="348" spans="1:14" ht="15" customHeight="1">
      <c r="A348" s="39" t="s">
        <v>909</v>
      </c>
      <c r="B348" s="39" t="s">
        <v>910</v>
      </c>
      <c r="C348" s="46">
        <v>10</v>
      </c>
      <c r="D348" s="39" t="s">
        <v>1300</v>
      </c>
      <c r="E348" s="39" t="s">
        <v>1301</v>
      </c>
      <c r="F348" s="39" t="s">
        <v>42</v>
      </c>
      <c r="G348" s="39" t="s">
        <v>42</v>
      </c>
      <c r="H348" s="39" t="s">
        <v>1638</v>
      </c>
      <c r="I348" s="39" t="s">
        <v>42</v>
      </c>
      <c r="J348" s="39" t="s">
        <v>42</v>
      </c>
      <c r="K348" s="39" t="s">
        <v>42</v>
      </c>
      <c r="L348" s="39" t="s">
        <v>42</v>
      </c>
      <c r="M348" s="39" t="s">
        <v>42</v>
      </c>
      <c r="N348" s="39" t="s">
        <v>42</v>
      </c>
    </row>
    <row r="349" spans="1:14" ht="15" customHeight="1">
      <c r="A349" s="39" t="s">
        <v>909</v>
      </c>
      <c r="B349" s="39" t="s">
        <v>910</v>
      </c>
      <c r="C349" s="46">
        <v>11</v>
      </c>
      <c r="D349" s="39" t="s">
        <v>1300</v>
      </c>
      <c r="E349" s="39" t="s">
        <v>1301</v>
      </c>
      <c r="F349" s="39" t="s">
        <v>42</v>
      </c>
      <c r="G349" s="39" t="s">
        <v>42</v>
      </c>
      <c r="H349" s="39" t="s">
        <v>1638</v>
      </c>
      <c r="I349" s="39" t="s">
        <v>42</v>
      </c>
      <c r="J349" s="39" t="s">
        <v>42</v>
      </c>
      <c r="K349" s="39" t="s">
        <v>42</v>
      </c>
      <c r="L349" s="39" t="s">
        <v>42</v>
      </c>
      <c r="M349" s="39" t="s">
        <v>42</v>
      </c>
      <c r="N349" s="39" t="s">
        <v>42</v>
      </c>
    </row>
    <row r="350" spans="1:14" ht="15" customHeight="1">
      <c r="A350" s="39" t="s">
        <v>909</v>
      </c>
      <c r="B350" s="39" t="s">
        <v>910</v>
      </c>
      <c r="C350" s="46">
        <v>12</v>
      </c>
      <c r="D350" s="39" t="s">
        <v>1300</v>
      </c>
      <c r="E350" s="39" t="s">
        <v>1301</v>
      </c>
      <c r="F350" s="39" t="s">
        <v>42</v>
      </c>
      <c r="G350" s="39" t="s">
        <v>42</v>
      </c>
      <c r="H350" s="39" t="s">
        <v>1638</v>
      </c>
      <c r="I350" s="39" t="s">
        <v>42</v>
      </c>
      <c r="J350" s="39" t="s">
        <v>42</v>
      </c>
      <c r="K350" s="39" t="s">
        <v>42</v>
      </c>
      <c r="L350" s="39" t="s">
        <v>42</v>
      </c>
      <c r="M350" s="39" t="s">
        <v>42</v>
      </c>
      <c r="N350" s="39" t="s">
        <v>42</v>
      </c>
    </row>
    <row r="351" spans="1:14" ht="15" customHeight="1">
      <c r="A351" s="39" t="s">
        <v>909</v>
      </c>
      <c r="B351" s="39" t="s">
        <v>910</v>
      </c>
      <c r="C351" s="46">
        <v>13</v>
      </c>
      <c r="D351" s="39" t="s">
        <v>1300</v>
      </c>
      <c r="E351" s="39" t="s">
        <v>1301</v>
      </c>
      <c r="F351" s="39" t="s">
        <v>42</v>
      </c>
      <c r="G351" s="39" t="s">
        <v>42</v>
      </c>
      <c r="H351" s="39" t="s">
        <v>1638</v>
      </c>
      <c r="I351" s="39" t="s">
        <v>42</v>
      </c>
      <c r="J351" s="39" t="s">
        <v>42</v>
      </c>
      <c r="K351" s="39" t="s">
        <v>42</v>
      </c>
      <c r="L351" s="39" t="s">
        <v>42</v>
      </c>
      <c r="M351" s="39" t="s">
        <v>42</v>
      </c>
      <c r="N351" s="39" t="s">
        <v>42</v>
      </c>
    </row>
    <row r="352" spans="1:14" s="9" customFormat="1" ht="15" customHeight="1">
      <c r="A352" s="40" t="s">
        <v>909</v>
      </c>
      <c r="B352" s="40" t="s">
        <v>910</v>
      </c>
      <c r="C352" s="47">
        <v>14</v>
      </c>
      <c r="D352" s="40" t="s">
        <v>1300</v>
      </c>
      <c r="E352" s="40" t="s">
        <v>1301</v>
      </c>
      <c r="F352" s="40" t="s">
        <v>42</v>
      </c>
      <c r="G352" s="40" t="s">
        <v>42</v>
      </c>
      <c r="H352" s="40" t="s">
        <v>1638</v>
      </c>
      <c r="I352" s="40" t="s">
        <v>42</v>
      </c>
      <c r="J352" s="40" t="s">
        <v>42</v>
      </c>
      <c r="K352" s="40" t="s">
        <v>42</v>
      </c>
      <c r="L352" s="40" t="s">
        <v>42</v>
      </c>
      <c r="M352" s="40" t="s">
        <v>42</v>
      </c>
      <c r="N352" s="40" t="s">
        <v>42</v>
      </c>
    </row>
    <row r="353" spans="1:14" ht="15" customHeight="1">
      <c r="A353" s="39" t="s">
        <v>914</v>
      </c>
      <c r="B353" s="39" t="s">
        <v>915</v>
      </c>
      <c r="C353" s="46">
        <v>1</v>
      </c>
      <c r="D353" s="39" t="s">
        <v>1779</v>
      </c>
      <c r="E353" s="39" t="s">
        <v>1301</v>
      </c>
      <c r="F353" s="39">
        <v>5</v>
      </c>
      <c r="G353" s="39" t="s">
        <v>42</v>
      </c>
      <c r="H353" s="39" t="s">
        <v>1779</v>
      </c>
      <c r="I353" s="39" t="s">
        <v>1512</v>
      </c>
      <c r="J353" s="48" t="s">
        <v>1513</v>
      </c>
      <c r="K353" s="39" t="s">
        <v>42</v>
      </c>
      <c r="L353" s="39" t="s">
        <v>42</v>
      </c>
      <c r="M353" s="39" t="s">
        <v>42</v>
      </c>
      <c r="N353" s="39" t="s">
        <v>42</v>
      </c>
    </row>
    <row r="354" spans="1:14" ht="15" customHeight="1">
      <c r="A354" s="39" t="s">
        <v>914</v>
      </c>
      <c r="B354" s="39" t="s">
        <v>915</v>
      </c>
      <c r="C354" s="46">
        <v>2</v>
      </c>
      <c r="D354" s="39" t="s">
        <v>1515</v>
      </c>
      <c r="E354" s="39" t="s">
        <v>1301</v>
      </c>
      <c r="F354" s="39">
        <v>1</v>
      </c>
      <c r="G354" s="39" t="s">
        <v>42</v>
      </c>
      <c r="H354" s="39" t="s">
        <v>1515</v>
      </c>
      <c r="I354" s="39" t="s">
        <v>1516</v>
      </c>
      <c r="J354" s="48" t="s">
        <v>1517</v>
      </c>
      <c r="K354" s="39" t="s">
        <v>42</v>
      </c>
      <c r="L354" s="39" t="s">
        <v>42</v>
      </c>
      <c r="M354" s="39" t="s">
        <v>42</v>
      </c>
      <c r="N354" s="39" t="s">
        <v>42</v>
      </c>
    </row>
    <row r="355" spans="1:14" ht="15" customHeight="1">
      <c r="A355" s="39" t="s">
        <v>914</v>
      </c>
      <c r="B355" s="39" t="s">
        <v>915</v>
      </c>
      <c r="C355" s="46">
        <v>3</v>
      </c>
      <c r="D355" s="39" t="s">
        <v>1518</v>
      </c>
      <c r="E355" s="39" t="s">
        <v>1301</v>
      </c>
      <c r="F355" s="39">
        <v>1</v>
      </c>
      <c r="G355" s="39" t="s">
        <v>42</v>
      </c>
      <c r="H355" s="39" t="s">
        <v>1518</v>
      </c>
      <c r="I355" s="39" t="s">
        <v>1519</v>
      </c>
      <c r="J355" s="39" t="s">
        <v>1520</v>
      </c>
      <c r="K355" s="39" t="s">
        <v>42</v>
      </c>
      <c r="L355" s="39" t="s">
        <v>42</v>
      </c>
      <c r="M355" s="39" t="s">
        <v>42</v>
      </c>
      <c r="N355" s="39" t="s">
        <v>42</v>
      </c>
    </row>
    <row r="356" spans="1:14" ht="15" customHeight="1">
      <c r="A356" s="39" t="s">
        <v>914</v>
      </c>
      <c r="B356" s="39" t="s">
        <v>915</v>
      </c>
      <c r="C356" s="46">
        <v>4</v>
      </c>
      <c r="D356" s="39" t="s">
        <v>1780</v>
      </c>
      <c r="E356" s="39" t="s">
        <v>1301</v>
      </c>
      <c r="F356" s="39">
        <v>1</v>
      </c>
      <c r="G356" s="39" t="s">
        <v>42</v>
      </c>
      <c r="H356" s="39" t="s">
        <v>1780</v>
      </c>
      <c r="I356" s="39" t="s">
        <v>1781</v>
      </c>
      <c r="J356" s="39" t="s">
        <v>1782</v>
      </c>
      <c r="K356" s="39" t="s">
        <v>42</v>
      </c>
      <c r="L356" s="39" t="s">
        <v>42</v>
      </c>
      <c r="M356" s="39" t="s">
        <v>42</v>
      </c>
      <c r="N356" s="39" t="s">
        <v>42</v>
      </c>
    </row>
    <row r="357" spans="1:14" ht="15" customHeight="1">
      <c r="A357" s="39" t="s">
        <v>914</v>
      </c>
      <c r="B357" s="39" t="s">
        <v>915</v>
      </c>
      <c r="C357" s="46">
        <v>5</v>
      </c>
      <c r="D357" s="39" t="s">
        <v>1783</v>
      </c>
      <c r="E357" s="39" t="s">
        <v>1301</v>
      </c>
      <c r="F357" s="39">
        <v>2</v>
      </c>
      <c r="G357" s="39" t="s">
        <v>42</v>
      </c>
      <c r="H357" s="39" t="s">
        <v>1783</v>
      </c>
      <c r="I357" s="39" t="s">
        <v>1523</v>
      </c>
      <c r="J357" s="48" t="s">
        <v>1784</v>
      </c>
      <c r="K357" s="39" t="s">
        <v>42</v>
      </c>
      <c r="L357" s="39" t="s">
        <v>42</v>
      </c>
      <c r="M357" s="39" t="s">
        <v>42</v>
      </c>
      <c r="N357" s="39" t="s">
        <v>42</v>
      </c>
    </row>
    <row r="358" spans="1:14" s="9" customFormat="1" ht="15" customHeight="1">
      <c r="A358" s="40" t="s">
        <v>914</v>
      </c>
      <c r="B358" s="40" t="s">
        <v>915</v>
      </c>
      <c r="C358" s="47">
        <v>6</v>
      </c>
      <c r="D358" s="40" t="s">
        <v>1785</v>
      </c>
      <c r="E358" s="40" t="s">
        <v>1301</v>
      </c>
      <c r="F358" s="40">
        <v>2</v>
      </c>
      <c r="G358" s="40" t="s">
        <v>42</v>
      </c>
      <c r="H358" s="40" t="s">
        <v>1785</v>
      </c>
      <c r="I358" s="40" t="s">
        <v>1786</v>
      </c>
      <c r="J358" s="50" t="s">
        <v>1787</v>
      </c>
      <c r="K358" s="40" t="s">
        <v>42</v>
      </c>
      <c r="L358" s="40" t="s">
        <v>42</v>
      </c>
      <c r="M358" s="40" t="s">
        <v>42</v>
      </c>
      <c r="N358" s="40" t="s">
        <v>42</v>
      </c>
    </row>
    <row r="359" spans="1:14" s="9" customFormat="1" ht="15" customHeight="1">
      <c r="A359" s="40" t="s">
        <v>918</v>
      </c>
      <c r="B359" s="40" t="s">
        <v>919</v>
      </c>
      <c r="C359" s="47">
        <v>1</v>
      </c>
      <c r="D359" s="40" t="s">
        <v>1788</v>
      </c>
      <c r="E359" s="40" t="s">
        <v>1402</v>
      </c>
      <c r="F359" s="40" t="s">
        <v>42</v>
      </c>
      <c r="G359" s="40" t="s">
        <v>42</v>
      </c>
      <c r="H359" s="40" t="s">
        <v>1789</v>
      </c>
      <c r="I359" s="40" t="s">
        <v>1790</v>
      </c>
      <c r="J359" s="40" t="s">
        <v>1791</v>
      </c>
      <c r="K359" s="40" t="s">
        <v>42</v>
      </c>
      <c r="L359" s="40" t="s">
        <v>42</v>
      </c>
      <c r="M359" s="40" t="s">
        <v>42</v>
      </c>
      <c r="N359" s="40" t="s">
        <v>1356</v>
      </c>
    </row>
    <row r="360" spans="1:14" s="9" customFormat="1" ht="15" customHeight="1">
      <c r="A360" s="40" t="s">
        <v>934</v>
      </c>
      <c r="B360" s="40" t="s">
        <v>935</v>
      </c>
      <c r="C360" s="47">
        <v>1</v>
      </c>
      <c r="D360" s="40" t="s">
        <v>1664</v>
      </c>
      <c r="E360" s="40" t="s">
        <v>42</v>
      </c>
      <c r="F360" s="40" t="s">
        <v>42</v>
      </c>
      <c r="G360" s="40" t="s">
        <v>42</v>
      </c>
      <c r="H360" s="40" t="s">
        <v>1488</v>
      </c>
      <c r="I360" s="40" t="s">
        <v>1792</v>
      </c>
      <c r="J360" s="40" t="s">
        <v>42</v>
      </c>
      <c r="K360" s="40" t="s">
        <v>1793</v>
      </c>
      <c r="L360" s="40" t="s">
        <v>42</v>
      </c>
      <c r="M360" s="40" t="s">
        <v>1794</v>
      </c>
      <c r="N360" s="47" t="s">
        <v>42</v>
      </c>
    </row>
    <row r="361" spans="1:14" s="9" customFormat="1" ht="15" customHeight="1">
      <c r="A361" s="40" t="s">
        <v>941</v>
      </c>
      <c r="B361" s="40" t="s">
        <v>942</v>
      </c>
      <c r="C361" s="47">
        <v>1</v>
      </c>
      <c r="D361" s="40" t="s">
        <v>1795</v>
      </c>
      <c r="E361" s="40" t="s">
        <v>1381</v>
      </c>
      <c r="F361" s="40" t="s">
        <v>42</v>
      </c>
      <c r="G361" s="40" t="s">
        <v>42</v>
      </c>
      <c r="H361" s="40" t="s">
        <v>1706</v>
      </c>
      <c r="I361" s="40" t="s">
        <v>42</v>
      </c>
      <c r="J361" s="40" t="s">
        <v>42</v>
      </c>
      <c r="K361" s="40" t="s">
        <v>42</v>
      </c>
      <c r="L361" s="40" t="s">
        <v>42</v>
      </c>
      <c r="M361" s="40" t="s">
        <v>1304</v>
      </c>
      <c r="N361" s="47" t="s">
        <v>42</v>
      </c>
    </row>
    <row r="362" spans="1:14" s="9" customFormat="1" ht="15" customHeight="1">
      <c r="A362" s="40" t="s">
        <v>946</v>
      </c>
      <c r="B362" s="40" t="s">
        <v>947</v>
      </c>
      <c r="C362" s="47">
        <v>1</v>
      </c>
      <c r="D362" s="40" t="s">
        <v>1796</v>
      </c>
      <c r="E362" s="40" t="s">
        <v>1339</v>
      </c>
      <c r="F362" s="40" t="s">
        <v>42</v>
      </c>
      <c r="G362" s="40" t="s">
        <v>42</v>
      </c>
      <c r="H362" s="40" t="s">
        <v>1797</v>
      </c>
      <c r="I362" s="40" t="s">
        <v>1798</v>
      </c>
      <c r="J362" s="50" t="s">
        <v>1799</v>
      </c>
      <c r="K362" s="40" t="s">
        <v>42</v>
      </c>
      <c r="L362" s="40" t="s">
        <v>42</v>
      </c>
      <c r="M362" s="40" t="s">
        <v>42</v>
      </c>
      <c r="N362" s="47" t="s">
        <v>1570</v>
      </c>
    </row>
    <row r="363" spans="1:14" ht="15" customHeight="1">
      <c r="A363" s="39" t="s">
        <v>969</v>
      </c>
      <c r="B363" s="39" t="s">
        <v>890</v>
      </c>
      <c r="C363" s="46">
        <v>1</v>
      </c>
      <c r="D363" s="39" t="s">
        <v>1553</v>
      </c>
      <c r="E363" s="39" t="s">
        <v>1301</v>
      </c>
      <c r="F363" s="39" t="s">
        <v>42</v>
      </c>
      <c r="G363" s="39" t="s">
        <v>42</v>
      </c>
      <c r="H363" s="39" t="s">
        <v>1742</v>
      </c>
      <c r="I363" s="39" t="s">
        <v>1800</v>
      </c>
      <c r="J363" s="39" t="s">
        <v>42</v>
      </c>
      <c r="K363" s="39" t="s">
        <v>42</v>
      </c>
      <c r="L363" s="39" t="s">
        <v>42</v>
      </c>
      <c r="M363" s="39" t="s">
        <v>42</v>
      </c>
      <c r="N363" s="46" t="s">
        <v>42</v>
      </c>
    </row>
    <row r="364" spans="1:14" ht="15" customHeight="1">
      <c r="A364" s="39" t="s">
        <v>969</v>
      </c>
      <c r="B364" s="39" t="s">
        <v>890</v>
      </c>
      <c r="C364" s="46">
        <v>2</v>
      </c>
      <c r="D364" s="39" t="s">
        <v>1556</v>
      </c>
      <c r="E364" s="39" t="s">
        <v>1301</v>
      </c>
      <c r="F364" s="39" t="s">
        <v>42</v>
      </c>
      <c r="G364" s="39" t="s">
        <v>42</v>
      </c>
      <c r="H364" s="39" t="s">
        <v>1742</v>
      </c>
      <c r="I364" s="39" t="s">
        <v>1800</v>
      </c>
      <c r="J364" s="39" t="s">
        <v>42</v>
      </c>
      <c r="K364" s="39" t="s">
        <v>42</v>
      </c>
      <c r="L364" s="39" t="s">
        <v>42</v>
      </c>
      <c r="M364" s="39" t="s">
        <v>42</v>
      </c>
      <c r="N364" s="46" t="s">
        <v>42</v>
      </c>
    </row>
    <row r="365" spans="1:14" ht="15" customHeight="1">
      <c r="A365" s="39" t="s">
        <v>969</v>
      </c>
      <c r="B365" s="39" t="s">
        <v>890</v>
      </c>
      <c r="C365" s="46">
        <v>3</v>
      </c>
      <c r="D365" s="39" t="s">
        <v>1557</v>
      </c>
      <c r="E365" s="39" t="s">
        <v>1301</v>
      </c>
      <c r="F365" s="39" t="s">
        <v>42</v>
      </c>
      <c r="G365" s="39" t="s">
        <v>42</v>
      </c>
      <c r="H365" s="39" t="s">
        <v>1742</v>
      </c>
      <c r="I365" s="39" t="s">
        <v>1800</v>
      </c>
      <c r="J365" s="39" t="s">
        <v>42</v>
      </c>
      <c r="K365" s="39" t="s">
        <v>42</v>
      </c>
      <c r="L365" s="39" t="s">
        <v>42</v>
      </c>
      <c r="M365" s="39" t="s">
        <v>42</v>
      </c>
      <c r="N365" s="46" t="s">
        <v>42</v>
      </c>
    </row>
    <row r="366" spans="1:14" ht="15" customHeight="1">
      <c r="A366" s="39" t="s">
        <v>969</v>
      </c>
      <c r="B366" s="39" t="s">
        <v>890</v>
      </c>
      <c r="C366" s="46">
        <v>4</v>
      </c>
      <c r="D366" s="39" t="s">
        <v>1558</v>
      </c>
      <c r="E366" s="39" t="s">
        <v>1301</v>
      </c>
      <c r="F366" s="39" t="s">
        <v>42</v>
      </c>
      <c r="G366" s="39" t="s">
        <v>42</v>
      </c>
      <c r="H366" s="39" t="s">
        <v>1742</v>
      </c>
      <c r="I366" s="39" t="s">
        <v>1800</v>
      </c>
      <c r="J366" s="39" t="s">
        <v>42</v>
      </c>
      <c r="K366" s="39" t="s">
        <v>42</v>
      </c>
      <c r="L366" s="39" t="s">
        <v>42</v>
      </c>
      <c r="M366" s="39" t="s">
        <v>42</v>
      </c>
      <c r="N366" s="46" t="s">
        <v>42</v>
      </c>
    </row>
    <row r="367" spans="1:14" ht="15" customHeight="1">
      <c r="A367" s="39" t="s">
        <v>969</v>
      </c>
      <c r="B367" s="39" t="s">
        <v>890</v>
      </c>
      <c r="C367" s="46">
        <v>5</v>
      </c>
      <c r="D367" s="39" t="s">
        <v>1559</v>
      </c>
      <c r="E367" s="39" t="s">
        <v>1301</v>
      </c>
      <c r="F367" s="39" t="s">
        <v>42</v>
      </c>
      <c r="G367" s="39" t="s">
        <v>42</v>
      </c>
      <c r="H367" s="39" t="s">
        <v>1742</v>
      </c>
      <c r="I367" s="39" t="s">
        <v>1800</v>
      </c>
      <c r="J367" s="39" t="s">
        <v>42</v>
      </c>
      <c r="K367" s="39" t="s">
        <v>42</v>
      </c>
      <c r="L367" s="39" t="s">
        <v>42</v>
      </c>
      <c r="M367" s="39" t="s">
        <v>42</v>
      </c>
      <c r="N367" s="46" t="s">
        <v>42</v>
      </c>
    </row>
    <row r="368" spans="1:14" ht="15" customHeight="1">
      <c r="A368" s="39" t="s">
        <v>969</v>
      </c>
      <c r="B368" s="39" t="s">
        <v>890</v>
      </c>
      <c r="C368" s="46">
        <v>6</v>
      </c>
      <c r="D368" s="39" t="s">
        <v>1560</v>
      </c>
      <c r="E368" s="39" t="s">
        <v>1301</v>
      </c>
      <c r="F368" s="39" t="s">
        <v>42</v>
      </c>
      <c r="G368" s="39" t="s">
        <v>42</v>
      </c>
      <c r="H368" s="39" t="s">
        <v>1742</v>
      </c>
      <c r="I368" s="39" t="s">
        <v>1800</v>
      </c>
      <c r="J368" s="39" t="s">
        <v>42</v>
      </c>
      <c r="K368" s="39" t="s">
        <v>42</v>
      </c>
      <c r="L368" s="39" t="s">
        <v>42</v>
      </c>
      <c r="M368" s="39" t="s">
        <v>42</v>
      </c>
      <c r="N368" s="46" t="s">
        <v>42</v>
      </c>
    </row>
    <row r="369" spans="1:14" ht="15" customHeight="1">
      <c r="A369" s="39" t="s">
        <v>969</v>
      </c>
      <c r="B369" s="39" t="s">
        <v>890</v>
      </c>
      <c r="C369" s="46">
        <v>7</v>
      </c>
      <c r="D369" s="39" t="s">
        <v>1561</v>
      </c>
      <c r="E369" s="39" t="s">
        <v>1301</v>
      </c>
      <c r="F369" s="39" t="s">
        <v>42</v>
      </c>
      <c r="G369" s="39" t="s">
        <v>42</v>
      </c>
      <c r="H369" s="39" t="s">
        <v>1742</v>
      </c>
      <c r="I369" s="39" t="s">
        <v>1800</v>
      </c>
      <c r="J369" s="39" t="s">
        <v>42</v>
      </c>
      <c r="K369" s="39" t="s">
        <v>42</v>
      </c>
      <c r="L369" s="39" t="s">
        <v>42</v>
      </c>
      <c r="M369" s="39" t="s">
        <v>42</v>
      </c>
      <c r="N369" s="46" t="s">
        <v>42</v>
      </c>
    </row>
    <row r="370" spans="1:14" ht="15" customHeight="1">
      <c r="A370" s="39" t="s">
        <v>969</v>
      </c>
      <c r="B370" s="39" t="s">
        <v>890</v>
      </c>
      <c r="C370" s="46">
        <v>8</v>
      </c>
      <c r="D370" s="39" t="s">
        <v>1562</v>
      </c>
      <c r="E370" s="39" t="s">
        <v>1301</v>
      </c>
      <c r="F370" s="39" t="s">
        <v>42</v>
      </c>
      <c r="G370" s="39" t="s">
        <v>42</v>
      </c>
      <c r="H370" s="39" t="s">
        <v>1742</v>
      </c>
      <c r="I370" s="39" t="s">
        <v>1800</v>
      </c>
      <c r="J370" s="39" t="s">
        <v>42</v>
      </c>
      <c r="K370" s="39" t="s">
        <v>42</v>
      </c>
      <c r="L370" s="39" t="s">
        <v>42</v>
      </c>
      <c r="M370" s="39" t="s">
        <v>42</v>
      </c>
      <c r="N370" s="46" t="s">
        <v>42</v>
      </c>
    </row>
    <row r="371" spans="1:14" ht="15" customHeight="1">
      <c r="A371" s="39" t="s">
        <v>969</v>
      </c>
      <c r="B371" s="39" t="s">
        <v>890</v>
      </c>
      <c r="C371" s="46">
        <v>9</v>
      </c>
      <c r="D371" s="39" t="s">
        <v>1563</v>
      </c>
      <c r="E371" s="39" t="s">
        <v>1301</v>
      </c>
      <c r="F371" s="39" t="s">
        <v>42</v>
      </c>
      <c r="G371" s="39" t="s">
        <v>42</v>
      </c>
      <c r="H371" s="39" t="s">
        <v>1742</v>
      </c>
      <c r="I371" s="39" t="s">
        <v>1800</v>
      </c>
      <c r="J371" s="39" t="s">
        <v>42</v>
      </c>
      <c r="K371" s="39" t="s">
        <v>42</v>
      </c>
      <c r="L371" s="39" t="s">
        <v>42</v>
      </c>
      <c r="M371" s="39" t="s">
        <v>42</v>
      </c>
      <c r="N371" s="46" t="s">
        <v>42</v>
      </c>
    </row>
    <row r="372" spans="1:14" ht="15" customHeight="1">
      <c r="A372" s="39" t="s">
        <v>969</v>
      </c>
      <c r="B372" s="39" t="s">
        <v>890</v>
      </c>
      <c r="C372" s="46">
        <v>10</v>
      </c>
      <c r="D372" s="39" t="s">
        <v>1564</v>
      </c>
      <c r="E372" s="39" t="s">
        <v>1301</v>
      </c>
      <c r="F372" s="39" t="s">
        <v>42</v>
      </c>
      <c r="G372" s="39" t="s">
        <v>42</v>
      </c>
      <c r="H372" s="39" t="s">
        <v>1742</v>
      </c>
      <c r="I372" s="39" t="s">
        <v>1800</v>
      </c>
      <c r="J372" s="39" t="s">
        <v>42</v>
      </c>
      <c r="K372" s="39" t="s">
        <v>42</v>
      </c>
      <c r="L372" s="39" t="s">
        <v>42</v>
      </c>
      <c r="M372" s="39" t="s">
        <v>42</v>
      </c>
      <c r="N372" s="46" t="s">
        <v>42</v>
      </c>
    </row>
    <row r="373" spans="1:14" ht="15" customHeight="1">
      <c r="A373" s="39" t="s">
        <v>969</v>
      </c>
      <c r="B373" s="39" t="s">
        <v>890</v>
      </c>
      <c r="C373" s="46">
        <v>11</v>
      </c>
      <c r="D373" s="39" t="s">
        <v>1565</v>
      </c>
      <c r="E373" s="39" t="s">
        <v>1301</v>
      </c>
      <c r="F373" s="39" t="s">
        <v>42</v>
      </c>
      <c r="G373" s="39" t="s">
        <v>42</v>
      </c>
      <c r="H373" s="39" t="s">
        <v>1742</v>
      </c>
      <c r="I373" s="39" t="s">
        <v>1800</v>
      </c>
      <c r="J373" s="39" t="s">
        <v>42</v>
      </c>
      <c r="K373" s="39" t="s">
        <v>42</v>
      </c>
      <c r="L373" s="39" t="s">
        <v>42</v>
      </c>
      <c r="M373" s="39" t="s">
        <v>42</v>
      </c>
      <c r="N373" s="46" t="s">
        <v>42</v>
      </c>
    </row>
    <row r="374" spans="1:14" ht="15" customHeight="1">
      <c r="A374" s="39" t="s">
        <v>969</v>
      </c>
      <c r="B374" s="39" t="s">
        <v>890</v>
      </c>
      <c r="C374" s="46">
        <v>12</v>
      </c>
      <c r="D374" s="39" t="s">
        <v>1566</v>
      </c>
      <c r="E374" s="39" t="s">
        <v>1301</v>
      </c>
      <c r="F374" s="39" t="s">
        <v>42</v>
      </c>
      <c r="G374" s="39" t="s">
        <v>42</v>
      </c>
      <c r="H374" s="39" t="s">
        <v>1742</v>
      </c>
      <c r="I374" s="39" t="s">
        <v>1800</v>
      </c>
      <c r="J374" s="39" t="s">
        <v>42</v>
      </c>
      <c r="K374" s="39" t="s">
        <v>42</v>
      </c>
      <c r="L374" s="39" t="s">
        <v>42</v>
      </c>
      <c r="M374" s="39" t="s">
        <v>42</v>
      </c>
      <c r="N374" s="46" t="s">
        <v>42</v>
      </c>
    </row>
    <row r="375" spans="1:14" ht="15" customHeight="1">
      <c r="A375" s="39" t="s">
        <v>969</v>
      </c>
      <c r="B375" s="39" t="s">
        <v>890</v>
      </c>
      <c r="C375" s="46">
        <v>13</v>
      </c>
      <c r="D375" s="39" t="s">
        <v>1567</v>
      </c>
      <c r="E375" s="39" t="s">
        <v>1301</v>
      </c>
      <c r="F375" s="39" t="s">
        <v>42</v>
      </c>
      <c r="G375" s="39" t="s">
        <v>42</v>
      </c>
      <c r="H375" s="39" t="s">
        <v>1742</v>
      </c>
      <c r="I375" s="39" t="s">
        <v>1800</v>
      </c>
      <c r="J375" s="39" t="s">
        <v>42</v>
      </c>
      <c r="K375" s="39" t="s">
        <v>42</v>
      </c>
      <c r="L375" s="39" t="s">
        <v>42</v>
      </c>
      <c r="M375" s="39" t="s">
        <v>42</v>
      </c>
      <c r="N375" s="46" t="s">
        <v>42</v>
      </c>
    </row>
    <row r="376" spans="1:14" ht="15" customHeight="1">
      <c r="A376" s="39" t="s">
        <v>969</v>
      </c>
      <c r="B376" s="39" t="s">
        <v>890</v>
      </c>
      <c r="C376" s="46">
        <v>14</v>
      </c>
      <c r="D376" s="39" t="s">
        <v>1568</v>
      </c>
      <c r="E376" s="39" t="s">
        <v>1301</v>
      </c>
      <c r="F376" s="39" t="s">
        <v>42</v>
      </c>
      <c r="G376" s="39" t="s">
        <v>42</v>
      </c>
      <c r="H376" s="39" t="s">
        <v>1742</v>
      </c>
      <c r="I376" s="39" t="s">
        <v>1800</v>
      </c>
      <c r="J376" s="39" t="s">
        <v>42</v>
      </c>
      <c r="K376" s="39" t="s">
        <v>42</v>
      </c>
      <c r="L376" s="39" t="s">
        <v>42</v>
      </c>
      <c r="M376" s="39" t="s">
        <v>42</v>
      </c>
      <c r="N376" s="46" t="s">
        <v>42</v>
      </c>
    </row>
    <row r="377" spans="1:14" ht="15" customHeight="1">
      <c r="A377" s="39" t="s">
        <v>969</v>
      </c>
      <c r="B377" s="39" t="s">
        <v>890</v>
      </c>
      <c r="C377" s="46">
        <v>15</v>
      </c>
      <c r="D377" s="39" t="s">
        <v>1569</v>
      </c>
      <c r="E377" s="39" t="s">
        <v>1301</v>
      </c>
      <c r="F377" s="39" t="s">
        <v>42</v>
      </c>
      <c r="G377" s="39" t="s">
        <v>42</v>
      </c>
      <c r="H377" s="39" t="s">
        <v>1742</v>
      </c>
      <c r="I377" s="39" t="s">
        <v>1800</v>
      </c>
      <c r="J377" s="39" t="s">
        <v>42</v>
      </c>
      <c r="K377" s="39" t="s">
        <v>42</v>
      </c>
      <c r="L377" s="39" t="s">
        <v>42</v>
      </c>
      <c r="M377" s="39" t="s">
        <v>42</v>
      </c>
      <c r="N377" s="46" t="s">
        <v>42</v>
      </c>
    </row>
    <row r="378" spans="1:14" ht="15" customHeight="1">
      <c r="A378" s="39" t="s">
        <v>969</v>
      </c>
      <c r="B378" s="39" t="s">
        <v>890</v>
      </c>
      <c r="C378" s="46">
        <v>16</v>
      </c>
      <c r="D378" s="39" t="s">
        <v>1571</v>
      </c>
      <c r="E378" s="39" t="s">
        <v>1301</v>
      </c>
      <c r="F378" s="39" t="s">
        <v>42</v>
      </c>
      <c r="G378" s="39" t="s">
        <v>42</v>
      </c>
      <c r="H378" s="39" t="s">
        <v>1742</v>
      </c>
      <c r="I378" s="39" t="s">
        <v>1800</v>
      </c>
      <c r="J378" s="39" t="s">
        <v>42</v>
      </c>
      <c r="K378" s="39" t="s">
        <v>42</v>
      </c>
      <c r="L378" s="39" t="s">
        <v>42</v>
      </c>
      <c r="M378" s="39" t="s">
        <v>42</v>
      </c>
      <c r="N378" s="46" t="s">
        <v>42</v>
      </c>
    </row>
    <row r="379" spans="1:14" ht="15" customHeight="1">
      <c r="A379" s="39" t="s">
        <v>969</v>
      </c>
      <c r="B379" s="39" t="s">
        <v>890</v>
      </c>
      <c r="C379" s="46">
        <v>17</v>
      </c>
      <c r="D379" s="39" t="s">
        <v>1572</v>
      </c>
      <c r="E379" s="39" t="s">
        <v>1301</v>
      </c>
      <c r="F379" s="39" t="s">
        <v>42</v>
      </c>
      <c r="G379" s="39" t="s">
        <v>42</v>
      </c>
      <c r="H379" s="39" t="s">
        <v>1742</v>
      </c>
      <c r="I379" s="39" t="s">
        <v>1800</v>
      </c>
      <c r="J379" s="39" t="s">
        <v>42</v>
      </c>
      <c r="K379" s="39" t="s">
        <v>42</v>
      </c>
      <c r="L379" s="39" t="s">
        <v>42</v>
      </c>
      <c r="M379" s="39" t="s">
        <v>42</v>
      </c>
      <c r="N379" s="46" t="s">
        <v>42</v>
      </c>
    </row>
    <row r="380" spans="1:14" ht="15" customHeight="1">
      <c r="A380" s="39" t="s">
        <v>969</v>
      </c>
      <c r="B380" s="39" t="s">
        <v>890</v>
      </c>
      <c r="C380" s="46">
        <v>18</v>
      </c>
      <c r="D380" s="39" t="s">
        <v>1573</v>
      </c>
      <c r="E380" s="39" t="s">
        <v>1301</v>
      </c>
      <c r="F380" s="39" t="s">
        <v>42</v>
      </c>
      <c r="G380" s="39" t="s">
        <v>42</v>
      </c>
      <c r="H380" s="39" t="s">
        <v>1742</v>
      </c>
      <c r="I380" s="39" t="s">
        <v>1800</v>
      </c>
      <c r="J380" s="39" t="s">
        <v>42</v>
      </c>
      <c r="K380" s="39" t="s">
        <v>42</v>
      </c>
      <c r="L380" s="39" t="s">
        <v>42</v>
      </c>
      <c r="M380" s="39" t="s">
        <v>42</v>
      </c>
      <c r="N380" s="46" t="s">
        <v>42</v>
      </c>
    </row>
    <row r="381" spans="1:14" ht="15" customHeight="1">
      <c r="A381" s="39" t="s">
        <v>969</v>
      </c>
      <c r="B381" s="39" t="s">
        <v>890</v>
      </c>
      <c r="C381" s="46">
        <v>19</v>
      </c>
      <c r="D381" s="39" t="s">
        <v>1574</v>
      </c>
      <c r="E381" s="39" t="s">
        <v>1301</v>
      </c>
      <c r="F381" s="39" t="s">
        <v>42</v>
      </c>
      <c r="G381" s="39" t="s">
        <v>42</v>
      </c>
      <c r="H381" s="39" t="s">
        <v>1742</v>
      </c>
      <c r="I381" s="39" t="s">
        <v>1800</v>
      </c>
      <c r="J381" s="39" t="s">
        <v>42</v>
      </c>
      <c r="K381" s="39" t="s">
        <v>42</v>
      </c>
      <c r="L381" s="39" t="s">
        <v>42</v>
      </c>
      <c r="M381" s="39" t="s">
        <v>42</v>
      </c>
      <c r="N381" s="46" t="s">
        <v>42</v>
      </c>
    </row>
    <row r="382" spans="1:14" ht="15" customHeight="1">
      <c r="A382" s="39" t="s">
        <v>969</v>
      </c>
      <c r="B382" s="39" t="s">
        <v>890</v>
      </c>
      <c r="C382" s="46">
        <v>20</v>
      </c>
      <c r="D382" s="39" t="s">
        <v>1575</v>
      </c>
      <c r="E382" s="39" t="s">
        <v>1301</v>
      </c>
      <c r="F382" s="39" t="s">
        <v>42</v>
      </c>
      <c r="G382" s="39" t="s">
        <v>42</v>
      </c>
      <c r="H382" s="39" t="s">
        <v>1742</v>
      </c>
      <c r="I382" s="39" t="s">
        <v>1800</v>
      </c>
      <c r="J382" s="39" t="s">
        <v>42</v>
      </c>
      <c r="K382" s="39" t="s">
        <v>42</v>
      </c>
      <c r="L382" s="39" t="s">
        <v>42</v>
      </c>
      <c r="M382" s="39" t="s">
        <v>42</v>
      </c>
      <c r="N382" s="46" t="s">
        <v>42</v>
      </c>
    </row>
    <row r="383" spans="1:14" s="9" customFormat="1" ht="15" customHeight="1">
      <c r="A383" s="40" t="s">
        <v>969</v>
      </c>
      <c r="B383" s="40" t="s">
        <v>890</v>
      </c>
      <c r="C383" s="47">
        <v>21</v>
      </c>
      <c r="D383" s="40" t="s">
        <v>1576</v>
      </c>
      <c r="E383" s="40" t="s">
        <v>1301</v>
      </c>
      <c r="F383" s="40" t="s">
        <v>42</v>
      </c>
      <c r="G383" s="40" t="s">
        <v>42</v>
      </c>
      <c r="H383" s="40" t="s">
        <v>1742</v>
      </c>
      <c r="I383" s="40" t="s">
        <v>1800</v>
      </c>
      <c r="J383" s="40" t="s">
        <v>42</v>
      </c>
      <c r="K383" s="40" t="s">
        <v>42</v>
      </c>
      <c r="L383" s="40" t="s">
        <v>42</v>
      </c>
      <c r="M383" s="40" t="s">
        <v>42</v>
      </c>
      <c r="N383" s="47" t="s">
        <v>42</v>
      </c>
    </row>
    <row r="384" spans="1:14" s="9" customFormat="1" ht="15" customHeight="1">
      <c r="A384" s="40" t="s">
        <v>973</v>
      </c>
      <c r="B384" s="40" t="s">
        <v>974</v>
      </c>
      <c r="C384" s="47">
        <v>1</v>
      </c>
      <c r="D384" s="40" t="s">
        <v>1801</v>
      </c>
      <c r="E384" s="40" t="s">
        <v>1381</v>
      </c>
      <c r="F384" s="40" t="s">
        <v>42</v>
      </c>
      <c r="G384" s="40" t="s">
        <v>42</v>
      </c>
      <c r="H384" s="40" t="s">
        <v>1488</v>
      </c>
      <c r="I384" s="40" t="s">
        <v>42</v>
      </c>
      <c r="J384" s="40" t="s">
        <v>42</v>
      </c>
      <c r="K384" s="40" t="s">
        <v>42</v>
      </c>
      <c r="L384" s="40" t="s">
        <v>42</v>
      </c>
      <c r="M384" s="40" t="s">
        <v>42</v>
      </c>
      <c r="N384" s="47" t="s">
        <v>42</v>
      </c>
    </row>
    <row r="385" spans="1:14" ht="15" customHeight="1">
      <c r="A385" s="39" t="s">
        <v>990</v>
      </c>
      <c r="B385" s="39" t="s">
        <v>991</v>
      </c>
      <c r="C385" s="46">
        <v>1</v>
      </c>
      <c r="D385" s="39" t="s">
        <v>1802</v>
      </c>
      <c r="E385" s="39" t="s">
        <v>1381</v>
      </c>
      <c r="F385" s="39">
        <v>5</v>
      </c>
      <c r="G385" s="39" t="s">
        <v>42</v>
      </c>
      <c r="H385" s="39" t="s">
        <v>1802</v>
      </c>
      <c r="I385" s="39" t="s">
        <v>42</v>
      </c>
      <c r="J385" s="39" t="s">
        <v>42</v>
      </c>
      <c r="K385" s="39" t="s">
        <v>42</v>
      </c>
      <c r="L385" s="39" t="s">
        <v>42</v>
      </c>
      <c r="M385" s="39" t="s">
        <v>1304</v>
      </c>
      <c r="N385" s="46" t="s">
        <v>42</v>
      </c>
    </row>
    <row r="386" spans="1:14" s="9" customFormat="1" ht="15" customHeight="1">
      <c r="A386" s="40" t="s">
        <v>990</v>
      </c>
      <c r="B386" s="40" t="s">
        <v>991</v>
      </c>
      <c r="C386" s="47">
        <v>2</v>
      </c>
      <c r="D386" s="40" t="s">
        <v>1803</v>
      </c>
      <c r="E386" s="40" t="s">
        <v>1381</v>
      </c>
      <c r="F386" s="40">
        <v>12</v>
      </c>
      <c r="G386" s="40" t="s">
        <v>42</v>
      </c>
      <c r="H386" s="40" t="s">
        <v>1803</v>
      </c>
      <c r="I386" s="40" t="s">
        <v>42</v>
      </c>
      <c r="J386" s="40" t="s">
        <v>42</v>
      </c>
      <c r="K386" s="40" t="s">
        <v>42</v>
      </c>
      <c r="L386" s="40" t="s">
        <v>42</v>
      </c>
      <c r="M386" s="40" t="s">
        <v>1304</v>
      </c>
      <c r="N386" s="47" t="s">
        <v>42</v>
      </c>
    </row>
    <row r="387" spans="1:14" s="9" customFormat="1" ht="15" customHeight="1">
      <c r="A387" s="40" t="s">
        <v>994</v>
      </c>
      <c r="B387" s="40" t="s">
        <v>995</v>
      </c>
      <c r="C387" s="47">
        <v>1</v>
      </c>
      <c r="D387" s="40" t="s">
        <v>1804</v>
      </c>
      <c r="E387" s="40" t="s">
        <v>1339</v>
      </c>
      <c r="F387" s="40" t="s">
        <v>42</v>
      </c>
      <c r="G387" s="40" t="s">
        <v>42</v>
      </c>
      <c r="H387" s="40" t="s">
        <v>1667</v>
      </c>
      <c r="I387" s="40" t="s">
        <v>1805</v>
      </c>
      <c r="J387" s="40" t="s">
        <v>42</v>
      </c>
      <c r="K387" s="40" t="s">
        <v>1806</v>
      </c>
      <c r="L387" s="40" t="s">
        <v>42</v>
      </c>
      <c r="M387" s="40" t="s">
        <v>42</v>
      </c>
      <c r="N387" s="47" t="s">
        <v>42</v>
      </c>
    </row>
    <row r="388" spans="1:14" s="9" customFormat="1" ht="15" customHeight="1">
      <c r="A388" s="40" t="s">
        <v>1006</v>
      </c>
      <c r="B388" s="40" t="s">
        <v>1007</v>
      </c>
      <c r="C388" s="47">
        <v>1</v>
      </c>
      <c r="D388" s="40" t="s">
        <v>1807</v>
      </c>
      <c r="E388" s="40" t="s">
        <v>1339</v>
      </c>
      <c r="F388" s="40">
        <f>2021-2015</f>
        <v>6</v>
      </c>
      <c r="G388" s="40" t="s">
        <v>1808</v>
      </c>
      <c r="H388" s="40" t="s">
        <v>1809</v>
      </c>
      <c r="I388" s="40" t="s">
        <v>1810</v>
      </c>
      <c r="J388" s="40" t="s">
        <v>1811</v>
      </c>
      <c r="K388" s="40" t="s">
        <v>1812</v>
      </c>
      <c r="L388" s="40" t="s">
        <v>42</v>
      </c>
      <c r="M388" s="40" t="s">
        <v>42</v>
      </c>
      <c r="N388" s="47" t="s">
        <v>1347</v>
      </c>
    </row>
    <row r="389" spans="1:14" s="9" customFormat="1" ht="15" customHeight="1">
      <c r="A389" s="40" t="s">
        <v>1021</v>
      </c>
      <c r="B389" s="40" t="s">
        <v>1022</v>
      </c>
      <c r="C389" s="47">
        <v>1</v>
      </c>
      <c r="D389" s="40" t="s">
        <v>1373</v>
      </c>
      <c r="E389" s="40" t="s">
        <v>1492</v>
      </c>
      <c r="F389" s="40" t="s">
        <v>42</v>
      </c>
      <c r="G389" s="40" t="s">
        <v>42</v>
      </c>
      <c r="H389" s="40" t="s">
        <v>1813</v>
      </c>
      <c r="I389" s="40" t="s">
        <v>1814</v>
      </c>
      <c r="J389" s="50" t="s">
        <v>1815</v>
      </c>
      <c r="K389" s="40" t="s">
        <v>42</v>
      </c>
      <c r="L389" s="40" t="s">
        <v>42</v>
      </c>
      <c r="M389" s="40" t="s">
        <v>42</v>
      </c>
      <c r="N389" s="40" t="s">
        <v>42</v>
      </c>
    </row>
    <row r="390" spans="1:14" s="9" customFormat="1" ht="15" customHeight="1">
      <c r="A390" s="40" t="s">
        <v>1032</v>
      </c>
      <c r="B390" s="40" t="s">
        <v>1033</v>
      </c>
      <c r="C390" s="47">
        <v>1</v>
      </c>
      <c r="D390" s="40" t="s">
        <v>1333</v>
      </c>
      <c r="E390" s="40" t="s">
        <v>1381</v>
      </c>
      <c r="F390" s="40">
        <v>20</v>
      </c>
      <c r="G390" s="40" t="s">
        <v>42</v>
      </c>
      <c r="H390" s="40" t="s">
        <v>1333</v>
      </c>
      <c r="I390" s="40" t="s">
        <v>1816</v>
      </c>
      <c r="J390" s="40" t="s">
        <v>1817</v>
      </c>
      <c r="K390" s="40" t="s">
        <v>42</v>
      </c>
      <c r="L390" s="40" t="s">
        <v>42</v>
      </c>
      <c r="M390" s="40" t="s">
        <v>1304</v>
      </c>
      <c r="N390" s="47" t="s">
        <v>1447</v>
      </c>
    </row>
    <row r="391" spans="1:14" s="9" customFormat="1" ht="15" customHeight="1">
      <c r="A391" s="40" t="s">
        <v>1050</v>
      </c>
      <c r="B391" s="40" t="s">
        <v>1051</v>
      </c>
      <c r="C391" s="47">
        <v>1</v>
      </c>
      <c r="D391" s="40" t="s">
        <v>1818</v>
      </c>
      <c r="E391" s="40" t="s">
        <v>1339</v>
      </c>
      <c r="F391" s="40">
        <v>13</v>
      </c>
      <c r="G391" s="40" t="s">
        <v>42</v>
      </c>
      <c r="H391" s="40" t="s">
        <v>1594</v>
      </c>
      <c r="I391" s="40" t="s">
        <v>1446</v>
      </c>
      <c r="J391" s="40" t="s">
        <v>42</v>
      </c>
      <c r="K391" s="40" t="s">
        <v>42</v>
      </c>
      <c r="L391" s="40" t="s">
        <v>1819</v>
      </c>
      <c r="M391" s="40" t="s">
        <v>42</v>
      </c>
      <c r="N391" s="47" t="s">
        <v>42</v>
      </c>
    </row>
    <row r="392" spans="1:14" s="9" customFormat="1" ht="15" customHeight="1">
      <c r="A392" s="40" t="s">
        <v>1067</v>
      </c>
      <c r="B392" s="40" t="s">
        <v>1068</v>
      </c>
      <c r="C392" s="47">
        <v>1</v>
      </c>
      <c r="D392" s="42" t="s">
        <v>1820</v>
      </c>
      <c r="E392" s="40" t="s">
        <v>1547</v>
      </c>
      <c r="F392" s="40" t="s">
        <v>42</v>
      </c>
      <c r="G392" s="40" t="s">
        <v>42</v>
      </c>
      <c r="H392" s="40" t="s">
        <v>1821</v>
      </c>
      <c r="I392" s="40" t="s">
        <v>1822</v>
      </c>
      <c r="J392" s="50" t="s">
        <v>1823</v>
      </c>
      <c r="K392" s="40" t="s">
        <v>42</v>
      </c>
      <c r="L392" s="40" t="s">
        <v>42</v>
      </c>
      <c r="M392" s="40" t="s">
        <v>42</v>
      </c>
      <c r="N392" s="47" t="s">
        <v>1570</v>
      </c>
    </row>
    <row r="393" spans="1:14" ht="15" customHeight="1">
      <c r="A393" s="39" t="s">
        <v>1082</v>
      </c>
      <c r="B393" s="39" t="s">
        <v>1083</v>
      </c>
      <c r="C393" s="46">
        <v>1</v>
      </c>
      <c r="D393" s="39" t="s">
        <v>1824</v>
      </c>
      <c r="E393" s="39" t="s">
        <v>1825</v>
      </c>
      <c r="F393" s="39">
        <f>2008-1999</f>
        <v>9</v>
      </c>
      <c r="G393" s="39" t="s">
        <v>42</v>
      </c>
      <c r="H393" s="39" t="s">
        <v>1826</v>
      </c>
      <c r="I393" s="39" t="s">
        <v>1827</v>
      </c>
      <c r="J393" s="48" t="s">
        <v>1828</v>
      </c>
      <c r="K393" s="39" t="s">
        <v>1829</v>
      </c>
      <c r="L393" s="39" t="s">
        <v>1830</v>
      </c>
      <c r="M393" s="39" t="s">
        <v>42</v>
      </c>
      <c r="N393" s="46" t="s">
        <v>42</v>
      </c>
    </row>
    <row r="394" spans="1:14" s="9" customFormat="1" ht="15" customHeight="1">
      <c r="A394" s="40" t="s">
        <v>1082</v>
      </c>
      <c r="B394" s="40" t="s">
        <v>1083</v>
      </c>
      <c r="C394" s="47">
        <v>2</v>
      </c>
      <c r="D394" s="40" t="s">
        <v>1831</v>
      </c>
      <c r="E394" s="40" t="s">
        <v>1825</v>
      </c>
      <c r="F394" s="40">
        <v>9</v>
      </c>
      <c r="G394" s="40" t="s">
        <v>42</v>
      </c>
      <c r="H394" s="40" t="s">
        <v>1826</v>
      </c>
      <c r="I394" s="40" t="s">
        <v>1827</v>
      </c>
      <c r="J394" s="50" t="s">
        <v>1828</v>
      </c>
      <c r="K394" s="40" t="s">
        <v>1829</v>
      </c>
      <c r="L394" s="40" t="s">
        <v>1830</v>
      </c>
      <c r="M394" s="40" t="s">
        <v>42</v>
      </c>
      <c r="N394" s="47" t="s">
        <v>42</v>
      </c>
    </row>
    <row r="395" spans="1:14" s="9" customFormat="1" ht="15" customHeight="1">
      <c r="A395" s="40" t="s">
        <v>1091</v>
      </c>
      <c r="B395" s="40" t="s">
        <v>1092</v>
      </c>
      <c r="C395" s="47">
        <v>1</v>
      </c>
      <c r="D395" s="40" t="s">
        <v>1635</v>
      </c>
      <c r="E395" s="40" t="s">
        <v>1402</v>
      </c>
      <c r="F395" s="40">
        <f>2014-1997</f>
        <v>17</v>
      </c>
      <c r="G395" s="40" t="s">
        <v>42</v>
      </c>
      <c r="H395" s="40" t="s">
        <v>1480</v>
      </c>
      <c r="I395" s="40" t="s">
        <v>1832</v>
      </c>
      <c r="J395" s="50" t="s">
        <v>1533</v>
      </c>
      <c r="K395" s="40" t="s">
        <v>42</v>
      </c>
      <c r="L395" s="40" t="s">
        <v>42</v>
      </c>
      <c r="M395" s="40" t="s">
        <v>42</v>
      </c>
      <c r="N395" s="40" t="s">
        <v>1389</v>
      </c>
    </row>
    <row r="396" spans="1:14" ht="15" customHeight="1">
      <c r="A396" s="39" t="s">
        <v>1099</v>
      </c>
      <c r="B396" s="39" t="s">
        <v>1100</v>
      </c>
      <c r="C396" s="46">
        <v>1</v>
      </c>
      <c r="D396" s="39" t="s">
        <v>1833</v>
      </c>
      <c r="E396" s="39" t="s">
        <v>1301</v>
      </c>
      <c r="F396" s="39" t="s">
        <v>42</v>
      </c>
      <c r="G396" s="39" t="s">
        <v>1834</v>
      </c>
      <c r="H396" s="39" t="s">
        <v>1833</v>
      </c>
      <c r="I396" s="39" t="s">
        <v>42</v>
      </c>
      <c r="J396" s="39" t="s">
        <v>42</v>
      </c>
      <c r="K396" s="39" t="s">
        <v>42</v>
      </c>
      <c r="L396" s="39" t="s">
        <v>1835</v>
      </c>
      <c r="M396" s="39" t="s">
        <v>1639</v>
      </c>
      <c r="N396" s="39" t="s">
        <v>42</v>
      </c>
    </row>
    <row r="397" spans="1:14" ht="15" customHeight="1">
      <c r="A397" s="39" t="s">
        <v>1099</v>
      </c>
      <c r="B397" s="39" t="s">
        <v>1100</v>
      </c>
      <c r="C397" s="46">
        <v>2</v>
      </c>
      <c r="D397" s="39" t="s">
        <v>1417</v>
      </c>
      <c r="E397" s="39" t="s">
        <v>1301</v>
      </c>
      <c r="F397" s="39" t="s">
        <v>42</v>
      </c>
      <c r="G397" s="39" t="s">
        <v>1836</v>
      </c>
      <c r="H397" s="39" t="s">
        <v>1417</v>
      </c>
      <c r="I397" s="39" t="s">
        <v>42</v>
      </c>
      <c r="J397" s="39" t="s">
        <v>42</v>
      </c>
      <c r="K397" s="39" t="s">
        <v>42</v>
      </c>
      <c r="L397" s="39" t="s">
        <v>1835</v>
      </c>
      <c r="M397" s="39" t="s">
        <v>1639</v>
      </c>
      <c r="N397" s="39" t="s">
        <v>42</v>
      </c>
    </row>
    <row r="398" spans="1:14" ht="15" customHeight="1">
      <c r="A398" s="39" t="s">
        <v>1099</v>
      </c>
      <c r="B398" s="39" t="s">
        <v>1100</v>
      </c>
      <c r="C398" s="46">
        <v>3</v>
      </c>
      <c r="D398" s="39" t="s">
        <v>1423</v>
      </c>
      <c r="E398" s="39" t="s">
        <v>1301</v>
      </c>
      <c r="F398" s="39" t="s">
        <v>42</v>
      </c>
      <c r="G398" s="39" t="s">
        <v>1837</v>
      </c>
      <c r="H398" s="39" t="s">
        <v>1423</v>
      </c>
      <c r="I398" s="39" t="s">
        <v>42</v>
      </c>
      <c r="J398" s="39" t="s">
        <v>42</v>
      </c>
      <c r="K398" s="39" t="s">
        <v>42</v>
      </c>
      <c r="L398" s="39" t="s">
        <v>1835</v>
      </c>
      <c r="M398" s="39" t="s">
        <v>1639</v>
      </c>
      <c r="N398" s="39" t="s">
        <v>42</v>
      </c>
    </row>
    <row r="399" spans="1:14" ht="15" customHeight="1">
      <c r="A399" s="39" t="s">
        <v>1099</v>
      </c>
      <c r="B399" s="39" t="s">
        <v>1100</v>
      </c>
      <c r="C399" s="46">
        <v>4</v>
      </c>
      <c r="D399" s="39" t="s">
        <v>1838</v>
      </c>
      <c r="E399" s="39" t="s">
        <v>1301</v>
      </c>
      <c r="F399" s="39" t="s">
        <v>42</v>
      </c>
      <c r="G399" s="39" t="s">
        <v>1839</v>
      </c>
      <c r="H399" s="39" t="s">
        <v>1838</v>
      </c>
      <c r="I399" s="39" t="s">
        <v>42</v>
      </c>
      <c r="J399" s="39" t="s">
        <v>42</v>
      </c>
      <c r="K399" s="39" t="s">
        <v>42</v>
      </c>
      <c r="L399" s="39" t="s">
        <v>1835</v>
      </c>
      <c r="M399" s="39" t="s">
        <v>1639</v>
      </c>
      <c r="N399" s="39" t="s">
        <v>42</v>
      </c>
    </row>
    <row r="400" spans="1:14" ht="15" customHeight="1">
      <c r="A400" s="39" t="s">
        <v>1099</v>
      </c>
      <c r="B400" s="39" t="s">
        <v>1100</v>
      </c>
      <c r="C400" s="46">
        <v>5</v>
      </c>
      <c r="D400" s="39" t="s">
        <v>1802</v>
      </c>
      <c r="E400" s="39" t="s">
        <v>1301</v>
      </c>
      <c r="F400" s="39" t="s">
        <v>42</v>
      </c>
      <c r="G400" s="39" t="s">
        <v>1840</v>
      </c>
      <c r="H400" s="39" t="s">
        <v>1802</v>
      </c>
      <c r="I400" s="39" t="s">
        <v>42</v>
      </c>
      <c r="J400" s="39" t="s">
        <v>42</v>
      </c>
      <c r="K400" s="39" t="s">
        <v>42</v>
      </c>
      <c r="L400" s="39" t="s">
        <v>1835</v>
      </c>
      <c r="M400" s="39" t="s">
        <v>1639</v>
      </c>
      <c r="N400" s="39" t="s">
        <v>42</v>
      </c>
    </row>
    <row r="401" spans="1:14" ht="15" customHeight="1">
      <c r="A401" s="39" t="s">
        <v>1099</v>
      </c>
      <c r="B401" s="39" t="s">
        <v>1100</v>
      </c>
      <c r="C401" s="46">
        <v>6</v>
      </c>
      <c r="D401" s="39" t="s">
        <v>1601</v>
      </c>
      <c r="E401" s="39" t="s">
        <v>1301</v>
      </c>
      <c r="F401" s="39" t="s">
        <v>42</v>
      </c>
      <c r="G401" s="39" t="s">
        <v>1841</v>
      </c>
      <c r="H401" s="39" t="s">
        <v>1601</v>
      </c>
      <c r="I401" s="39" t="s">
        <v>42</v>
      </c>
      <c r="J401" s="39" t="s">
        <v>42</v>
      </c>
      <c r="K401" s="39" t="s">
        <v>42</v>
      </c>
      <c r="L401" s="39" t="s">
        <v>1835</v>
      </c>
      <c r="M401" s="39" t="s">
        <v>1639</v>
      </c>
      <c r="N401" s="39" t="s">
        <v>42</v>
      </c>
    </row>
    <row r="402" spans="1:14" ht="15" customHeight="1">
      <c r="A402" s="39" t="s">
        <v>1099</v>
      </c>
      <c r="B402" s="39" t="s">
        <v>1100</v>
      </c>
      <c r="C402" s="46">
        <v>7</v>
      </c>
      <c r="D402" s="39" t="s">
        <v>1842</v>
      </c>
      <c r="E402" s="39" t="s">
        <v>1301</v>
      </c>
      <c r="F402" s="39" t="s">
        <v>42</v>
      </c>
      <c r="G402" s="39" t="s">
        <v>1843</v>
      </c>
      <c r="H402" s="39" t="s">
        <v>1842</v>
      </c>
      <c r="I402" s="39" t="s">
        <v>42</v>
      </c>
      <c r="J402" s="39" t="s">
        <v>42</v>
      </c>
      <c r="K402" s="39" t="s">
        <v>42</v>
      </c>
      <c r="L402" s="39" t="s">
        <v>1835</v>
      </c>
      <c r="M402" s="39" t="s">
        <v>1639</v>
      </c>
      <c r="N402" s="39" t="s">
        <v>42</v>
      </c>
    </row>
    <row r="403" spans="1:14" s="9" customFormat="1" ht="15" customHeight="1">
      <c r="A403" s="40" t="s">
        <v>1099</v>
      </c>
      <c r="B403" s="40" t="s">
        <v>1100</v>
      </c>
      <c r="C403" s="47">
        <v>8</v>
      </c>
      <c r="D403" s="40" t="s">
        <v>1844</v>
      </c>
      <c r="E403" s="40" t="s">
        <v>1301</v>
      </c>
      <c r="F403" s="40" t="s">
        <v>42</v>
      </c>
      <c r="G403" s="40" t="s">
        <v>1845</v>
      </c>
      <c r="H403" s="40" t="s">
        <v>1844</v>
      </c>
      <c r="I403" s="40" t="s">
        <v>42</v>
      </c>
      <c r="J403" s="40" t="s">
        <v>42</v>
      </c>
      <c r="K403" s="40" t="s">
        <v>42</v>
      </c>
      <c r="L403" s="40" t="s">
        <v>1835</v>
      </c>
      <c r="M403" s="40" t="s">
        <v>1639</v>
      </c>
      <c r="N403" s="40" t="s">
        <v>42</v>
      </c>
    </row>
    <row r="404" spans="1:14" ht="15" customHeight="1">
      <c r="A404" s="39" t="s">
        <v>1105</v>
      </c>
      <c r="B404" s="39" t="s">
        <v>1106</v>
      </c>
      <c r="C404" s="46">
        <v>1</v>
      </c>
      <c r="D404" s="39" t="s">
        <v>1297</v>
      </c>
      <c r="E404" s="39" t="s">
        <v>1339</v>
      </c>
      <c r="F404" s="39">
        <v>12</v>
      </c>
      <c r="G404" s="39" t="s">
        <v>42</v>
      </c>
      <c r="H404" s="39" t="s">
        <v>1297</v>
      </c>
      <c r="I404" s="39" t="s">
        <v>1846</v>
      </c>
      <c r="J404" s="48" t="s">
        <v>1847</v>
      </c>
      <c r="K404" s="39" t="s">
        <v>1848</v>
      </c>
      <c r="L404" s="39" t="s">
        <v>1849</v>
      </c>
      <c r="M404" s="39" t="s">
        <v>1850</v>
      </c>
      <c r="N404" s="46" t="s">
        <v>1389</v>
      </c>
    </row>
    <row r="405" spans="1:14" ht="15" customHeight="1">
      <c r="A405" s="39" t="s">
        <v>1105</v>
      </c>
      <c r="B405" s="39" t="s">
        <v>1106</v>
      </c>
      <c r="C405" s="46">
        <v>2</v>
      </c>
      <c r="D405" s="39" t="s">
        <v>1297</v>
      </c>
      <c r="E405" s="39" t="s">
        <v>1851</v>
      </c>
      <c r="F405" s="39" t="s">
        <v>42</v>
      </c>
      <c r="G405" s="39" t="s">
        <v>42</v>
      </c>
      <c r="H405" s="39" t="s">
        <v>1297</v>
      </c>
      <c r="I405" s="39" t="s">
        <v>1846</v>
      </c>
      <c r="J405" s="48" t="s">
        <v>1847</v>
      </c>
      <c r="K405" s="39" t="s">
        <v>1852</v>
      </c>
      <c r="L405" s="39" t="s">
        <v>42</v>
      </c>
      <c r="M405" s="39" t="s">
        <v>1853</v>
      </c>
      <c r="N405" s="46" t="s">
        <v>1389</v>
      </c>
    </row>
    <row r="406" spans="1:14" s="9" customFormat="1" ht="15" customHeight="1">
      <c r="A406" s="40" t="s">
        <v>1105</v>
      </c>
      <c r="B406" s="40" t="s">
        <v>1106</v>
      </c>
      <c r="C406" s="47">
        <v>3</v>
      </c>
      <c r="D406" s="40" t="s">
        <v>1305</v>
      </c>
      <c r="E406" s="40" t="s">
        <v>1381</v>
      </c>
      <c r="F406" s="40">
        <f>1994-1993</f>
        <v>1</v>
      </c>
      <c r="G406" s="40" t="s">
        <v>42</v>
      </c>
      <c r="H406" s="40" t="s">
        <v>1305</v>
      </c>
      <c r="I406" s="40" t="s">
        <v>1854</v>
      </c>
      <c r="J406" s="50" t="s">
        <v>1855</v>
      </c>
      <c r="K406" s="40" t="s">
        <v>42</v>
      </c>
      <c r="L406" s="40" t="s">
        <v>42</v>
      </c>
      <c r="M406" s="40" t="s">
        <v>1697</v>
      </c>
      <c r="N406" s="47" t="s">
        <v>1447</v>
      </c>
    </row>
    <row r="407" spans="1:14" ht="15" customHeight="1">
      <c r="A407" s="39" t="s">
        <v>1117</v>
      </c>
      <c r="B407" s="39" t="s">
        <v>1118</v>
      </c>
      <c r="C407" s="46">
        <v>1</v>
      </c>
      <c r="D407" s="39" t="s">
        <v>1856</v>
      </c>
      <c r="E407" s="39" t="s">
        <v>1381</v>
      </c>
      <c r="F407" s="39">
        <v>1</v>
      </c>
      <c r="G407" s="39"/>
      <c r="H407" s="39" t="s">
        <v>1857</v>
      </c>
      <c r="I407" s="39" t="s">
        <v>1516</v>
      </c>
      <c r="J407" s="48" t="s">
        <v>1517</v>
      </c>
      <c r="K407" s="39" t="s">
        <v>42</v>
      </c>
      <c r="L407" s="39" t="s">
        <v>42</v>
      </c>
      <c r="M407" s="39" t="s">
        <v>1858</v>
      </c>
      <c r="N407" s="39" t="s">
        <v>42</v>
      </c>
    </row>
    <row r="408" spans="1:14" ht="15" customHeight="1">
      <c r="A408" s="39" t="s">
        <v>1117</v>
      </c>
      <c r="B408" s="39" t="s">
        <v>1118</v>
      </c>
      <c r="C408" s="46">
        <v>2</v>
      </c>
      <c r="D408" s="39" t="s">
        <v>1859</v>
      </c>
      <c r="E408" s="39" t="s">
        <v>1381</v>
      </c>
      <c r="F408" s="39">
        <v>1</v>
      </c>
      <c r="G408" s="39"/>
      <c r="H408" s="39" t="s">
        <v>1857</v>
      </c>
      <c r="I408" s="39" t="s">
        <v>1516</v>
      </c>
      <c r="J408" s="39" t="s">
        <v>1517</v>
      </c>
      <c r="K408" s="39" t="s">
        <v>42</v>
      </c>
      <c r="L408" s="39" t="s">
        <v>42</v>
      </c>
      <c r="M408" s="39" t="s">
        <v>1858</v>
      </c>
      <c r="N408" s="39" t="s">
        <v>42</v>
      </c>
    </row>
    <row r="409" spans="1:14" ht="15" customHeight="1">
      <c r="A409" s="39" t="s">
        <v>1117</v>
      </c>
      <c r="B409" s="39" t="s">
        <v>1118</v>
      </c>
      <c r="C409" s="46">
        <v>3</v>
      </c>
      <c r="D409" s="39" t="s">
        <v>1860</v>
      </c>
      <c r="E409" s="39" t="s">
        <v>1381</v>
      </c>
      <c r="F409" s="39">
        <v>1</v>
      </c>
      <c r="G409" s="39"/>
      <c r="H409" s="39" t="s">
        <v>1857</v>
      </c>
      <c r="I409" s="39" t="s">
        <v>1519</v>
      </c>
      <c r="J409" s="48" t="s">
        <v>1520</v>
      </c>
      <c r="K409" s="39" t="s">
        <v>42</v>
      </c>
      <c r="L409" s="39" t="s">
        <v>42</v>
      </c>
      <c r="M409" s="39" t="s">
        <v>1858</v>
      </c>
      <c r="N409" s="39" t="s">
        <v>42</v>
      </c>
    </row>
    <row r="410" spans="1:14" ht="15" customHeight="1">
      <c r="A410" s="39" t="s">
        <v>1117</v>
      </c>
      <c r="B410" s="39" t="s">
        <v>1118</v>
      </c>
      <c r="C410" s="46">
        <v>4</v>
      </c>
      <c r="D410" s="39" t="s">
        <v>1783</v>
      </c>
      <c r="E410" s="39" t="s">
        <v>1381</v>
      </c>
      <c r="F410" s="39">
        <v>2</v>
      </c>
      <c r="G410" s="39"/>
      <c r="H410" s="39" t="s">
        <v>1861</v>
      </c>
      <c r="I410" s="39" t="s">
        <v>1523</v>
      </c>
      <c r="J410" s="48" t="s">
        <v>1784</v>
      </c>
      <c r="K410" s="39" t="s">
        <v>42</v>
      </c>
      <c r="L410" s="39" t="s">
        <v>42</v>
      </c>
      <c r="M410" s="39" t="s">
        <v>1858</v>
      </c>
      <c r="N410" s="39" t="s">
        <v>42</v>
      </c>
    </row>
    <row r="411" spans="1:14" ht="15" customHeight="1">
      <c r="A411" s="39" t="s">
        <v>1117</v>
      </c>
      <c r="B411" s="39" t="s">
        <v>1118</v>
      </c>
      <c r="C411" s="46">
        <v>5</v>
      </c>
      <c r="D411" s="39" t="s">
        <v>1862</v>
      </c>
      <c r="E411" s="39" t="s">
        <v>1381</v>
      </c>
      <c r="F411" s="39">
        <v>2</v>
      </c>
      <c r="G411" s="39"/>
      <c r="H411" s="39" t="s">
        <v>1861</v>
      </c>
      <c r="I411" s="39" t="s">
        <v>1523</v>
      </c>
      <c r="J411" s="48" t="s">
        <v>1524</v>
      </c>
      <c r="K411" s="39" t="s">
        <v>42</v>
      </c>
      <c r="L411" s="39" t="s">
        <v>42</v>
      </c>
      <c r="M411" s="39" t="s">
        <v>1858</v>
      </c>
      <c r="N411" s="39" t="s">
        <v>42</v>
      </c>
    </row>
    <row r="412" spans="1:14" ht="15" customHeight="1">
      <c r="A412" s="39" t="s">
        <v>1117</v>
      </c>
      <c r="B412" s="39" t="s">
        <v>1118</v>
      </c>
      <c r="C412" s="46">
        <v>6</v>
      </c>
      <c r="D412" s="39" t="s">
        <v>1863</v>
      </c>
      <c r="E412" s="39" t="s">
        <v>1381</v>
      </c>
      <c r="F412" s="39">
        <v>7</v>
      </c>
      <c r="G412" s="39" t="s">
        <v>42</v>
      </c>
      <c r="H412" s="39" t="s">
        <v>1579</v>
      </c>
      <c r="I412" s="39" t="s">
        <v>1512</v>
      </c>
      <c r="J412" s="48" t="s">
        <v>1513</v>
      </c>
      <c r="K412" s="39" t="s">
        <v>42</v>
      </c>
      <c r="L412" s="39" t="s">
        <v>42</v>
      </c>
      <c r="M412" s="39" t="s">
        <v>1858</v>
      </c>
      <c r="N412" s="39" t="s">
        <v>42</v>
      </c>
    </row>
    <row r="413" spans="1:14" s="9" customFormat="1" ht="15" customHeight="1">
      <c r="A413" s="40" t="s">
        <v>1117</v>
      </c>
      <c r="B413" s="40" t="s">
        <v>1118</v>
      </c>
      <c r="C413" s="47">
        <v>7</v>
      </c>
      <c r="D413" s="40" t="s">
        <v>1864</v>
      </c>
      <c r="E413" s="40" t="s">
        <v>1381</v>
      </c>
      <c r="F413" s="40">
        <v>5</v>
      </c>
      <c r="G413" s="40" t="s">
        <v>42</v>
      </c>
      <c r="H413" s="40" t="s">
        <v>1865</v>
      </c>
      <c r="I413" s="40" t="s">
        <v>42</v>
      </c>
      <c r="J413" s="40" t="s">
        <v>42</v>
      </c>
      <c r="K413" s="40" t="s">
        <v>42</v>
      </c>
      <c r="L413" s="40" t="s">
        <v>42</v>
      </c>
      <c r="M413" s="40" t="s">
        <v>1858</v>
      </c>
      <c r="N413" s="40" t="s">
        <v>42</v>
      </c>
    </row>
    <row r="414" spans="1:14" ht="15" customHeight="1">
      <c r="A414" s="39" t="s">
        <v>1121</v>
      </c>
      <c r="B414" s="39" t="s">
        <v>1122</v>
      </c>
      <c r="C414" s="46">
        <v>1</v>
      </c>
      <c r="D414" s="39" t="s">
        <v>1866</v>
      </c>
      <c r="E414" s="39" t="s">
        <v>1381</v>
      </c>
      <c r="F414" s="39">
        <v>7</v>
      </c>
      <c r="G414" s="39" t="s">
        <v>1867</v>
      </c>
      <c r="H414" s="39" t="s">
        <v>1305</v>
      </c>
      <c r="I414" s="39" t="s">
        <v>1868</v>
      </c>
      <c r="J414" s="39" t="s">
        <v>42</v>
      </c>
      <c r="K414" s="39" t="s">
        <v>1869</v>
      </c>
      <c r="L414" s="39" t="s">
        <v>42</v>
      </c>
      <c r="M414" s="39" t="s">
        <v>1304</v>
      </c>
      <c r="N414" s="46" t="s">
        <v>1447</v>
      </c>
    </row>
    <row r="415" spans="1:14" ht="15" customHeight="1">
      <c r="A415" s="39" t="s">
        <v>1121</v>
      </c>
      <c r="B415" s="39" t="s">
        <v>1122</v>
      </c>
      <c r="C415" s="46">
        <v>2</v>
      </c>
      <c r="D415" s="39" t="s">
        <v>1870</v>
      </c>
      <c r="E415" s="39" t="s">
        <v>1381</v>
      </c>
      <c r="F415" s="39">
        <v>7</v>
      </c>
      <c r="G415" s="39" t="s">
        <v>1871</v>
      </c>
      <c r="H415" s="39" t="s">
        <v>1305</v>
      </c>
      <c r="I415" s="39" t="s">
        <v>1868</v>
      </c>
      <c r="J415" s="39" t="s">
        <v>42</v>
      </c>
      <c r="K415" s="39" t="s">
        <v>1872</v>
      </c>
      <c r="L415" s="39" t="s">
        <v>42</v>
      </c>
      <c r="M415" s="39" t="s">
        <v>1304</v>
      </c>
      <c r="N415" s="46" t="s">
        <v>1447</v>
      </c>
    </row>
    <row r="416" spans="1:14" s="9" customFormat="1" ht="15" customHeight="1">
      <c r="A416" s="40" t="s">
        <v>1121</v>
      </c>
      <c r="B416" s="40" t="s">
        <v>1122</v>
      </c>
      <c r="C416" s="47">
        <v>3</v>
      </c>
      <c r="D416" s="40" t="s">
        <v>1873</v>
      </c>
      <c r="E416" s="40" t="s">
        <v>1381</v>
      </c>
      <c r="F416" s="40">
        <v>7</v>
      </c>
      <c r="G416" s="40" t="s">
        <v>1874</v>
      </c>
      <c r="H416" s="40" t="s">
        <v>1338</v>
      </c>
      <c r="I416" s="40" t="s">
        <v>1868</v>
      </c>
      <c r="J416" s="40" t="s">
        <v>42</v>
      </c>
      <c r="K416" s="40" t="s">
        <v>1875</v>
      </c>
      <c r="L416" s="40" t="s">
        <v>42</v>
      </c>
      <c r="M416" s="40" t="s">
        <v>1304</v>
      </c>
      <c r="N416" s="47" t="s">
        <v>1447</v>
      </c>
    </row>
    <row r="417" spans="1:14" s="9" customFormat="1" ht="15" customHeight="1">
      <c r="A417" s="40" t="s">
        <v>1128</v>
      </c>
      <c r="B417" s="40" t="s">
        <v>1129</v>
      </c>
      <c r="C417" s="47">
        <v>1</v>
      </c>
      <c r="D417" s="40" t="s">
        <v>1876</v>
      </c>
      <c r="E417" s="40" t="s">
        <v>1339</v>
      </c>
      <c r="F417" s="40">
        <f>22-19</f>
        <v>3</v>
      </c>
      <c r="G417" s="40" t="s">
        <v>42</v>
      </c>
      <c r="H417" s="40" t="s">
        <v>1876</v>
      </c>
      <c r="I417" s="40" t="s">
        <v>1877</v>
      </c>
      <c r="J417" s="50" t="s">
        <v>1878</v>
      </c>
      <c r="K417" s="40" t="s">
        <v>42</v>
      </c>
      <c r="L417" s="40" t="s">
        <v>42</v>
      </c>
      <c r="M417" s="40" t="s">
        <v>42</v>
      </c>
      <c r="N417" s="47" t="s">
        <v>1570</v>
      </c>
    </row>
    <row r="418" spans="1:14" ht="15" customHeight="1">
      <c r="A418" s="39" t="s">
        <v>1138</v>
      </c>
      <c r="B418" s="39" t="s">
        <v>1122</v>
      </c>
      <c r="C418" s="46">
        <v>1</v>
      </c>
      <c r="D418" s="39" t="s">
        <v>1514</v>
      </c>
      <c r="E418" s="39" t="s">
        <v>1381</v>
      </c>
      <c r="F418" s="39">
        <v>5</v>
      </c>
      <c r="G418" s="39" t="s">
        <v>42</v>
      </c>
      <c r="H418" s="39" t="s">
        <v>1514</v>
      </c>
      <c r="I418" s="38" t="s">
        <v>1879</v>
      </c>
      <c r="J418" s="38" t="s">
        <v>1880</v>
      </c>
      <c r="K418" s="39" t="s">
        <v>42</v>
      </c>
      <c r="L418" s="39" t="s">
        <v>42</v>
      </c>
      <c r="M418" s="39" t="s">
        <v>1881</v>
      </c>
      <c r="N418" s="39" t="s">
        <v>42</v>
      </c>
    </row>
    <row r="419" spans="1:14" ht="15" customHeight="1">
      <c r="A419" s="39" t="s">
        <v>1138</v>
      </c>
      <c r="B419" s="39" t="s">
        <v>1122</v>
      </c>
      <c r="C419" s="46">
        <v>2</v>
      </c>
      <c r="D419" s="39" t="s">
        <v>1580</v>
      </c>
      <c r="E419" s="39" t="s">
        <v>1381</v>
      </c>
      <c r="F419" s="39">
        <v>5</v>
      </c>
      <c r="G419" s="39" t="s">
        <v>42</v>
      </c>
      <c r="H419" s="39" t="s">
        <v>1580</v>
      </c>
      <c r="I419" s="38" t="s">
        <v>1882</v>
      </c>
      <c r="J419" s="38" t="s">
        <v>1883</v>
      </c>
      <c r="K419" s="39" t="s">
        <v>42</v>
      </c>
      <c r="L419" s="39" t="s">
        <v>42</v>
      </c>
      <c r="M419" s="39" t="s">
        <v>1881</v>
      </c>
      <c r="N419" s="39" t="s">
        <v>42</v>
      </c>
    </row>
    <row r="420" spans="1:14" ht="15" customHeight="1">
      <c r="A420" s="39" t="s">
        <v>1138</v>
      </c>
      <c r="B420" s="39" t="s">
        <v>1122</v>
      </c>
      <c r="C420" s="46">
        <v>3</v>
      </c>
      <c r="D420" s="39" t="s">
        <v>1779</v>
      </c>
      <c r="E420" s="39" t="s">
        <v>1381</v>
      </c>
      <c r="F420" s="39">
        <v>1</v>
      </c>
      <c r="G420" s="39" t="s">
        <v>42</v>
      </c>
      <c r="H420" s="39" t="s">
        <v>1779</v>
      </c>
      <c r="I420" s="38" t="s">
        <v>1879</v>
      </c>
      <c r="J420" s="38" t="s">
        <v>1880</v>
      </c>
      <c r="K420" s="39" t="s">
        <v>42</v>
      </c>
      <c r="L420" s="39" t="s">
        <v>42</v>
      </c>
      <c r="M420" s="39" t="s">
        <v>1881</v>
      </c>
      <c r="N420" s="39" t="s">
        <v>42</v>
      </c>
    </row>
    <row r="421" spans="1:14" ht="15" customHeight="1">
      <c r="A421" s="39" t="s">
        <v>1138</v>
      </c>
      <c r="B421" s="39" t="s">
        <v>1122</v>
      </c>
      <c r="C421" s="46">
        <v>4</v>
      </c>
      <c r="D421" s="39" t="s">
        <v>1305</v>
      </c>
      <c r="E421" s="39" t="s">
        <v>1381</v>
      </c>
      <c r="F421" s="39">
        <v>4</v>
      </c>
      <c r="G421" s="39" t="s">
        <v>42</v>
      </c>
      <c r="H421" s="39" t="s">
        <v>1305</v>
      </c>
      <c r="I421" s="38" t="s">
        <v>1884</v>
      </c>
      <c r="J421" s="38" t="s">
        <v>1885</v>
      </c>
      <c r="K421" s="39" t="s">
        <v>42</v>
      </c>
      <c r="L421" s="39" t="s">
        <v>42</v>
      </c>
      <c r="M421" s="39" t="s">
        <v>1881</v>
      </c>
      <c r="N421" s="39" t="s">
        <v>42</v>
      </c>
    </row>
    <row r="422" spans="1:14" ht="15" customHeight="1">
      <c r="A422" s="39" t="s">
        <v>1138</v>
      </c>
      <c r="B422" s="39" t="s">
        <v>1122</v>
      </c>
      <c r="C422" s="46">
        <v>5</v>
      </c>
      <c r="D422" s="39" t="s">
        <v>1515</v>
      </c>
      <c r="E422" s="39" t="s">
        <v>1381</v>
      </c>
      <c r="F422" s="39">
        <v>2</v>
      </c>
      <c r="G422" s="39" t="s">
        <v>42</v>
      </c>
      <c r="H422" s="39" t="s">
        <v>1515</v>
      </c>
      <c r="I422" s="38" t="s">
        <v>1886</v>
      </c>
      <c r="J422" s="38" t="s">
        <v>1887</v>
      </c>
      <c r="K422" s="39" t="s">
        <v>42</v>
      </c>
      <c r="L422" s="39" t="s">
        <v>42</v>
      </c>
      <c r="M422" s="39" t="s">
        <v>1881</v>
      </c>
      <c r="N422" s="39" t="s">
        <v>42</v>
      </c>
    </row>
    <row r="423" spans="1:14" ht="15" customHeight="1">
      <c r="A423" s="39" t="s">
        <v>1138</v>
      </c>
      <c r="B423" s="39" t="s">
        <v>1122</v>
      </c>
      <c r="C423" s="46">
        <v>6</v>
      </c>
      <c r="D423" s="39" t="s">
        <v>1518</v>
      </c>
      <c r="E423" s="39" t="s">
        <v>1381</v>
      </c>
      <c r="F423" s="39">
        <v>1</v>
      </c>
      <c r="G423" s="39" t="s">
        <v>42</v>
      </c>
      <c r="H423" s="39" t="s">
        <v>1518</v>
      </c>
      <c r="I423" s="38" t="s">
        <v>1888</v>
      </c>
      <c r="J423" s="38" t="s">
        <v>1889</v>
      </c>
      <c r="K423" s="39" t="s">
        <v>42</v>
      </c>
      <c r="L423" s="39" t="s">
        <v>42</v>
      </c>
      <c r="M423" s="39" t="s">
        <v>1881</v>
      </c>
      <c r="N423" s="39" t="s">
        <v>42</v>
      </c>
    </row>
    <row r="424" spans="1:14" ht="15" customHeight="1">
      <c r="A424" s="39" t="s">
        <v>1138</v>
      </c>
      <c r="B424" s="39" t="s">
        <v>1122</v>
      </c>
      <c r="C424" s="46">
        <v>7</v>
      </c>
      <c r="D424" s="39" t="s">
        <v>1521</v>
      </c>
      <c r="E424" s="39" t="s">
        <v>1381</v>
      </c>
      <c r="F424" s="39">
        <v>1</v>
      </c>
      <c r="G424" s="39" t="s">
        <v>42</v>
      </c>
      <c r="H424" s="39" t="s">
        <v>1521</v>
      </c>
      <c r="I424" s="38" t="s">
        <v>1890</v>
      </c>
      <c r="J424" s="38" t="s">
        <v>1891</v>
      </c>
      <c r="K424" s="39" t="s">
        <v>42</v>
      </c>
      <c r="L424" s="39" t="s">
        <v>42</v>
      </c>
      <c r="M424" s="39" t="s">
        <v>1881</v>
      </c>
      <c r="N424" s="39" t="s">
        <v>42</v>
      </c>
    </row>
    <row r="425" spans="1:14" ht="15" customHeight="1">
      <c r="A425" s="39" t="s">
        <v>1138</v>
      </c>
      <c r="B425" s="39" t="s">
        <v>1122</v>
      </c>
      <c r="C425" s="46">
        <v>8</v>
      </c>
      <c r="D425" s="39" t="s">
        <v>1522</v>
      </c>
      <c r="E425" s="39" t="s">
        <v>1381</v>
      </c>
      <c r="F425" s="39">
        <v>2</v>
      </c>
      <c r="G425" s="39" t="s">
        <v>42</v>
      </c>
      <c r="H425" s="39" t="s">
        <v>1522</v>
      </c>
      <c r="I425" s="38" t="s">
        <v>1892</v>
      </c>
      <c r="J425" s="38" t="s">
        <v>1893</v>
      </c>
      <c r="K425" s="39" t="s">
        <v>42</v>
      </c>
      <c r="L425" s="39" t="s">
        <v>42</v>
      </c>
      <c r="M425" s="39" t="s">
        <v>1881</v>
      </c>
      <c r="N425" s="39" t="s">
        <v>42</v>
      </c>
    </row>
    <row r="426" spans="1:14" ht="15" customHeight="1">
      <c r="A426" s="39" t="s">
        <v>1138</v>
      </c>
      <c r="B426" s="39" t="s">
        <v>1122</v>
      </c>
      <c r="C426" s="46">
        <v>9</v>
      </c>
      <c r="D426" s="39" t="s">
        <v>1783</v>
      </c>
      <c r="E426" s="39" t="s">
        <v>1381</v>
      </c>
      <c r="F426" s="39">
        <v>1</v>
      </c>
      <c r="G426" s="39" t="s">
        <v>42</v>
      </c>
      <c r="H426" s="39" t="s">
        <v>1783</v>
      </c>
      <c r="I426" s="38" t="s">
        <v>1894</v>
      </c>
      <c r="J426" s="38" t="s">
        <v>1895</v>
      </c>
      <c r="K426" s="39" t="s">
        <v>42</v>
      </c>
      <c r="L426" s="39" t="s">
        <v>42</v>
      </c>
      <c r="M426" s="39" t="s">
        <v>1881</v>
      </c>
      <c r="N426" s="39" t="s">
        <v>42</v>
      </c>
    </row>
    <row r="427" spans="1:14" s="9" customFormat="1" ht="15" customHeight="1">
      <c r="A427" s="40" t="s">
        <v>1138</v>
      </c>
      <c r="B427" s="40" t="s">
        <v>1122</v>
      </c>
      <c r="C427" s="47">
        <v>10</v>
      </c>
      <c r="D427" s="40" t="s">
        <v>1896</v>
      </c>
      <c r="E427" s="40" t="s">
        <v>1381</v>
      </c>
      <c r="F427" s="40">
        <v>1</v>
      </c>
      <c r="G427" s="40" t="s">
        <v>42</v>
      </c>
      <c r="H427" s="40" t="s">
        <v>1896</v>
      </c>
      <c r="I427" s="42" t="s">
        <v>1897</v>
      </c>
      <c r="J427" s="42" t="s">
        <v>1898</v>
      </c>
      <c r="K427" s="40" t="s">
        <v>42</v>
      </c>
      <c r="L427" s="40" t="s">
        <v>42</v>
      </c>
      <c r="M427" s="40" t="s">
        <v>1881</v>
      </c>
      <c r="N427" s="40" t="s">
        <v>42</v>
      </c>
    </row>
    <row r="428" spans="1:14" s="9" customFormat="1" ht="15" customHeight="1">
      <c r="A428" s="40" t="s">
        <v>1143</v>
      </c>
      <c r="B428" s="40" t="s">
        <v>1144</v>
      </c>
      <c r="C428" s="47">
        <v>1</v>
      </c>
      <c r="D428" s="40" t="s">
        <v>1899</v>
      </c>
      <c r="E428" s="40" t="s">
        <v>1402</v>
      </c>
      <c r="F428" s="40">
        <v>1</v>
      </c>
      <c r="G428" s="40" t="s">
        <v>42</v>
      </c>
      <c r="H428" s="40" t="s">
        <v>1900</v>
      </c>
      <c r="I428" s="40" t="s">
        <v>42</v>
      </c>
      <c r="J428" s="40" t="s">
        <v>42</v>
      </c>
      <c r="K428" s="40" t="s">
        <v>1901</v>
      </c>
      <c r="L428" s="40" t="s">
        <v>42</v>
      </c>
      <c r="M428" s="40" t="s">
        <v>1103</v>
      </c>
      <c r="N428" s="47" t="s">
        <v>42</v>
      </c>
    </row>
    <row r="429" spans="1:14" s="9" customFormat="1" ht="15" customHeight="1">
      <c r="A429" s="40" t="s">
        <v>1147</v>
      </c>
      <c r="B429" s="40" t="s">
        <v>1148</v>
      </c>
      <c r="C429" s="47">
        <v>1</v>
      </c>
      <c r="D429" s="40" t="s">
        <v>1902</v>
      </c>
      <c r="E429" s="40" t="s">
        <v>1339</v>
      </c>
      <c r="F429" s="40">
        <f>2024-2018</f>
        <v>6</v>
      </c>
      <c r="G429" s="40" t="s">
        <v>1903</v>
      </c>
      <c r="H429" s="42" t="s">
        <v>1904</v>
      </c>
      <c r="I429" s="40" t="s">
        <v>1905</v>
      </c>
      <c r="J429" s="50" t="s">
        <v>1906</v>
      </c>
      <c r="K429" s="40" t="s">
        <v>1907</v>
      </c>
      <c r="L429" s="40" t="s">
        <v>42</v>
      </c>
      <c r="M429" s="40" t="s">
        <v>42</v>
      </c>
      <c r="N429" s="47" t="s">
        <v>42</v>
      </c>
    </row>
    <row r="430" spans="1:14" ht="15" customHeight="1">
      <c r="A430" s="39" t="s">
        <v>1159</v>
      </c>
      <c r="B430" s="39" t="s">
        <v>1160</v>
      </c>
      <c r="C430" s="46">
        <v>1</v>
      </c>
      <c r="D430" s="39" t="s">
        <v>1297</v>
      </c>
      <c r="E430" s="40" t="s">
        <v>1402</v>
      </c>
      <c r="F430" s="39" t="s">
        <v>42</v>
      </c>
      <c r="G430" s="39" t="s">
        <v>42</v>
      </c>
      <c r="H430" s="39" t="s">
        <v>1297</v>
      </c>
      <c r="I430" s="39" t="s">
        <v>1908</v>
      </c>
      <c r="J430" s="48" t="s">
        <v>1847</v>
      </c>
      <c r="K430" s="39" t="s">
        <v>42</v>
      </c>
      <c r="L430" s="39" t="s">
        <v>42</v>
      </c>
      <c r="M430" s="39" t="s">
        <v>42</v>
      </c>
      <c r="N430" s="39" t="s">
        <v>1389</v>
      </c>
    </row>
    <row r="431" spans="1:14" s="9" customFormat="1" ht="15" customHeight="1">
      <c r="A431" s="40" t="s">
        <v>1159</v>
      </c>
      <c r="B431" s="40" t="s">
        <v>1160</v>
      </c>
      <c r="C431" s="47">
        <v>2</v>
      </c>
      <c r="D431" s="40" t="s">
        <v>1305</v>
      </c>
      <c r="E431" s="40" t="s">
        <v>1381</v>
      </c>
      <c r="F431" s="40" t="s">
        <v>42</v>
      </c>
      <c r="G431" s="40" t="s">
        <v>42</v>
      </c>
      <c r="H431" s="40" t="s">
        <v>1305</v>
      </c>
      <c r="I431" s="40" t="s">
        <v>1909</v>
      </c>
      <c r="J431" s="50" t="s">
        <v>1855</v>
      </c>
      <c r="K431" s="40" t="s">
        <v>42</v>
      </c>
      <c r="L431" s="40" t="s">
        <v>42</v>
      </c>
      <c r="M431" s="40" t="s">
        <v>42</v>
      </c>
      <c r="N431" s="40" t="s">
        <v>1389</v>
      </c>
    </row>
    <row r="432" spans="1:14" s="9" customFormat="1" ht="15" customHeight="1">
      <c r="A432" s="40" t="s">
        <v>1167</v>
      </c>
      <c r="B432" s="40" t="s">
        <v>1168</v>
      </c>
      <c r="C432" s="47">
        <v>1</v>
      </c>
      <c r="D432" s="40" t="s">
        <v>1410</v>
      </c>
      <c r="E432" s="40" t="s">
        <v>1402</v>
      </c>
      <c r="F432" s="40" t="s">
        <v>42</v>
      </c>
      <c r="G432" s="40" t="s">
        <v>42</v>
      </c>
      <c r="H432" s="40" t="s">
        <v>1910</v>
      </c>
      <c r="I432" s="40" t="s">
        <v>1911</v>
      </c>
      <c r="J432" s="50" t="s">
        <v>1912</v>
      </c>
      <c r="K432" s="40" t="s">
        <v>42</v>
      </c>
      <c r="L432" s="40" t="s">
        <v>42</v>
      </c>
      <c r="M432" s="40" t="s">
        <v>42</v>
      </c>
      <c r="N432" s="47" t="s">
        <v>42</v>
      </c>
    </row>
    <row r="433" spans="1:14" ht="15" customHeight="1">
      <c r="A433" s="39" t="s">
        <v>1172</v>
      </c>
      <c r="B433" s="39" t="s">
        <v>915</v>
      </c>
      <c r="C433" s="46">
        <v>1</v>
      </c>
      <c r="D433" s="39" t="s">
        <v>1913</v>
      </c>
      <c r="E433" s="39" t="s">
        <v>1381</v>
      </c>
      <c r="F433" s="39">
        <v>4</v>
      </c>
      <c r="G433" s="39" t="s">
        <v>42</v>
      </c>
      <c r="H433" s="39" t="s">
        <v>1474</v>
      </c>
      <c r="I433" s="39" t="s">
        <v>1914</v>
      </c>
      <c r="J433" s="39" t="s">
        <v>1915</v>
      </c>
      <c r="K433" s="39" t="s">
        <v>42</v>
      </c>
      <c r="L433" s="39" t="s">
        <v>42</v>
      </c>
      <c r="M433" s="39" t="s">
        <v>1916</v>
      </c>
      <c r="N433" s="46" t="s">
        <v>42</v>
      </c>
    </row>
    <row r="434" spans="1:14" ht="15" customHeight="1">
      <c r="A434" s="39" t="s">
        <v>1172</v>
      </c>
      <c r="B434" s="39" t="s">
        <v>915</v>
      </c>
      <c r="C434" s="46">
        <v>2</v>
      </c>
      <c r="D434" s="39" t="s">
        <v>1917</v>
      </c>
      <c r="E434" s="39" t="s">
        <v>1381</v>
      </c>
      <c r="F434" s="39">
        <v>4</v>
      </c>
      <c r="G434" s="39" t="s">
        <v>42</v>
      </c>
      <c r="H434" s="39" t="s">
        <v>1474</v>
      </c>
      <c r="I434" s="39" t="s">
        <v>1914</v>
      </c>
      <c r="J434" s="39" t="s">
        <v>1915</v>
      </c>
      <c r="K434" s="39" t="s">
        <v>42</v>
      </c>
      <c r="L434" s="39" t="s">
        <v>42</v>
      </c>
      <c r="M434" s="39" t="s">
        <v>1916</v>
      </c>
      <c r="N434" s="46" t="s">
        <v>42</v>
      </c>
    </row>
    <row r="435" spans="1:14" s="9" customFormat="1" ht="15" customHeight="1">
      <c r="A435" s="40" t="s">
        <v>1172</v>
      </c>
      <c r="B435" s="40" t="s">
        <v>915</v>
      </c>
      <c r="C435" s="47">
        <v>3</v>
      </c>
      <c r="D435" s="40" t="s">
        <v>1779</v>
      </c>
      <c r="E435" s="40" t="s">
        <v>1381</v>
      </c>
      <c r="F435" s="40">
        <v>1</v>
      </c>
      <c r="G435" s="40" t="s">
        <v>42</v>
      </c>
      <c r="H435" s="40" t="s">
        <v>1474</v>
      </c>
      <c r="I435" s="40" t="s">
        <v>1914</v>
      </c>
      <c r="J435" s="40" t="s">
        <v>1915</v>
      </c>
      <c r="K435" s="40" t="s">
        <v>42</v>
      </c>
      <c r="L435" s="40" t="s">
        <v>42</v>
      </c>
      <c r="M435" s="40" t="s">
        <v>1916</v>
      </c>
      <c r="N435" s="47" t="s">
        <v>42</v>
      </c>
    </row>
    <row r="436" spans="1:14" s="9" customFormat="1" ht="15" customHeight="1">
      <c r="A436" s="40" t="s">
        <v>1176</v>
      </c>
      <c r="B436" s="40" t="s">
        <v>1177</v>
      </c>
      <c r="C436" s="47">
        <v>1</v>
      </c>
      <c r="D436" s="40" t="s">
        <v>1918</v>
      </c>
      <c r="E436" s="40" t="s">
        <v>1547</v>
      </c>
      <c r="F436" s="40">
        <v>5</v>
      </c>
      <c r="G436" s="40" t="s">
        <v>1919</v>
      </c>
      <c r="H436" s="40" t="s">
        <v>1918</v>
      </c>
      <c r="I436" s="40" t="s">
        <v>1920</v>
      </c>
      <c r="J436" s="50" t="s">
        <v>42</v>
      </c>
      <c r="K436" s="40" t="s">
        <v>1921</v>
      </c>
      <c r="L436" s="40" t="s">
        <v>42</v>
      </c>
      <c r="M436" s="40" t="s">
        <v>1376</v>
      </c>
      <c r="N436" s="47" t="s">
        <v>42</v>
      </c>
    </row>
    <row r="437" spans="1:14" s="9" customFormat="1" ht="15" customHeight="1">
      <c r="A437" s="40" t="s">
        <v>1186</v>
      </c>
      <c r="B437" s="40" t="s">
        <v>1187</v>
      </c>
      <c r="C437" s="52">
        <v>1</v>
      </c>
      <c r="D437" s="40" t="s">
        <v>1922</v>
      </c>
      <c r="E437" s="40" t="s">
        <v>1381</v>
      </c>
      <c r="F437" s="40" t="s">
        <v>42</v>
      </c>
      <c r="G437" s="40" t="s">
        <v>42</v>
      </c>
      <c r="H437" s="40" t="s">
        <v>1923</v>
      </c>
      <c r="I437" s="40" t="s">
        <v>42</v>
      </c>
      <c r="J437" s="40" t="s">
        <v>42</v>
      </c>
      <c r="K437" s="40" t="s">
        <v>42</v>
      </c>
      <c r="L437" s="40" t="s">
        <v>42</v>
      </c>
      <c r="M437" s="40" t="s">
        <v>42</v>
      </c>
      <c r="N437" s="47" t="s">
        <v>42</v>
      </c>
    </row>
    <row r="438" spans="1:14" ht="15" customHeight="1">
      <c r="A438" s="39" t="s">
        <v>1197</v>
      </c>
      <c r="B438" s="39" t="s">
        <v>1198</v>
      </c>
      <c r="C438" s="46">
        <v>1</v>
      </c>
      <c r="D438" s="39" t="s">
        <v>1528</v>
      </c>
      <c r="E438" s="39" t="s">
        <v>1492</v>
      </c>
      <c r="F438" s="39" t="s">
        <v>42</v>
      </c>
      <c r="G438" s="39" t="s">
        <v>42</v>
      </c>
      <c r="H438" s="39" t="s">
        <v>1375</v>
      </c>
      <c r="I438" s="39" t="s">
        <v>42</v>
      </c>
      <c r="J438" s="39" t="s">
        <v>42</v>
      </c>
      <c r="K438" s="39" t="s">
        <v>1298</v>
      </c>
      <c r="L438" s="39" t="s">
        <v>42</v>
      </c>
      <c r="M438" s="39" t="s">
        <v>42</v>
      </c>
      <c r="N438" s="46" t="s">
        <v>42</v>
      </c>
    </row>
    <row r="439" spans="1:14" s="9" customFormat="1" ht="15" customHeight="1">
      <c r="A439" s="40" t="s">
        <v>1197</v>
      </c>
      <c r="B439" s="40" t="s">
        <v>1198</v>
      </c>
      <c r="C439" s="47">
        <v>2</v>
      </c>
      <c r="D439" s="40" t="s">
        <v>1704</v>
      </c>
      <c r="E439" s="40" t="s">
        <v>1547</v>
      </c>
      <c r="F439" s="40" t="s">
        <v>42</v>
      </c>
      <c r="G439" s="40" t="s">
        <v>42</v>
      </c>
      <c r="H439" s="40" t="s">
        <v>1704</v>
      </c>
      <c r="I439" s="40" t="s">
        <v>42</v>
      </c>
      <c r="J439" s="40" t="s">
        <v>42</v>
      </c>
      <c r="K439" s="40" t="s">
        <v>1924</v>
      </c>
      <c r="L439" s="40" t="s">
        <v>42</v>
      </c>
      <c r="M439" s="40" t="s">
        <v>42</v>
      </c>
      <c r="N439" s="47" t="s">
        <v>42</v>
      </c>
    </row>
    <row r="440" spans="1:14" ht="15" customHeight="1">
      <c r="A440" s="39" t="s">
        <v>1206</v>
      </c>
      <c r="B440" s="39" t="s">
        <v>1207</v>
      </c>
      <c r="C440" s="46">
        <v>1</v>
      </c>
      <c r="D440" s="39" t="s">
        <v>1925</v>
      </c>
      <c r="E440" s="39" t="s">
        <v>1288</v>
      </c>
      <c r="F440" s="39">
        <f>2012-2005</f>
        <v>7</v>
      </c>
      <c r="G440" s="39" t="s">
        <v>1926</v>
      </c>
      <c r="H440" s="39" t="s">
        <v>1725</v>
      </c>
      <c r="I440" s="39" t="s">
        <v>42</v>
      </c>
      <c r="J440" s="39" t="s">
        <v>42</v>
      </c>
      <c r="K440" s="39" t="s">
        <v>42</v>
      </c>
      <c r="L440" s="39" t="s">
        <v>42</v>
      </c>
      <c r="M440" s="39" t="s">
        <v>1927</v>
      </c>
      <c r="N440" s="39" t="s">
        <v>42</v>
      </c>
    </row>
    <row r="441" spans="1:14" s="9" customFormat="1" ht="15" customHeight="1">
      <c r="A441" s="40" t="s">
        <v>1206</v>
      </c>
      <c r="B441" s="40" t="s">
        <v>1207</v>
      </c>
      <c r="C441" s="47">
        <v>2</v>
      </c>
      <c r="D441" s="40" t="s">
        <v>1928</v>
      </c>
      <c r="E441" s="40" t="s">
        <v>1288</v>
      </c>
      <c r="F441" s="40">
        <f>2012-2006</f>
        <v>6</v>
      </c>
      <c r="G441" s="40" t="s">
        <v>1929</v>
      </c>
      <c r="H441" s="40" t="s">
        <v>1930</v>
      </c>
      <c r="I441" s="40" t="s">
        <v>42</v>
      </c>
      <c r="J441" s="40" t="s">
        <v>42</v>
      </c>
      <c r="K441" s="40" t="s">
        <v>42</v>
      </c>
      <c r="L441" s="40" t="s">
        <v>42</v>
      </c>
      <c r="M441" s="40" t="s">
        <v>1931</v>
      </c>
      <c r="N441" s="40" t="s">
        <v>42</v>
      </c>
    </row>
    <row r="442" spans="1:14" s="9" customFormat="1" ht="15" customHeight="1">
      <c r="A442" s="40" t="s">
        <v>1213</v>
      </c>
      <c r="B442" s="40" t="s">
        <v>1214</v>
      </c>
      <c r="C442" s="47">
        <v>1</v>
      </c>
      <c r="D442" s="40" t="s">
        <v>1932</v>
      </c>
      <c r="E442" s="40" t="s">
        <v>1339</v>
      </c>
      <c r="F442" s="40"/>
      <c r="G442" s="40" t="s">
        <v>42</v>
      </c>
      <c r="H442" s="40" t="s">
        <v>1488</v>
      </c>
      <c r="I442" s="40" t="s">
        <v>42</v>
      </c>
      <c r="J442" s="40" t="s">
        <v>42</v>
      </c>
      <c r="K442" s="40" t="s">
        <v>1933</v>
      </c>
      <c r="L442" s="40" t="s">
        <v>42</v>
      </c>
      <c r="M442" s="40" t="s">
        <v>42</v>
      </c>
      <c r="N442" s="47" t="s">
        <v>42</v>
      </c>
    </row>
    <row r="443" spans="1:14" ht="15" customHeight="1">
      <c r="A443" s="39" t="s">
        <v>1220</v>
      </c>
      <c r="B443" s="39" t="s">
        <v>1221</v>
      </c>
      <c r="C443" s="46">
        <v>1</v>
      </c>
      <c r="D443" s="39" t="s">
        <v>1333</v>
      </c>
      <c r="E443" s="39" t="s">
        <v>1301</v>
      </c>
      <c r="F443" s="39" t="s">
        <v>42</v>
      </c>
      <c r="G443" s="39" t="s">
        <v>42</v>
      </c>
      <c r="H443" s="39" t="s">
        <v>1333</v>
      </c>
      <c r="I443" s="39" t="s">
        <v>1934</v>
      </c>
      <c r="J443" s="39" t="s">
        <v>1935</v>
      </c>
      <c r="K443" s="39" t="s">
        <v>42</v>
      </c>
      <c r="L443" s="39" t="s">
        <v>42</v>
      </c>
      <c r="M443" s="39" t="s">
        <v>1936</v>
      </c>
      <c r="N443" s="39" t="s">
        <v>42</v>
      </c>
    </row>
    <row r="444" spans="1:14" ht="15" customHeight="1">
      <c r="A444" s="39" t="s">
        <v>1220</v>
      </c>
      <c r="B444" s="39" t="s">
        <v>1221</v>
      </c>
      <c r="C444" s="46">
        <v>2</v>
      </c>
      <c r="D444" s="39" t="s">
        <v>1333</v>
      </c>
      <c r="E444" s="39" t="s">
        <v>1301</v>
      </c>
      <c r="F444" s="39" t="s">
        <v>42</v>
      </c>
      <c r="G444" s="39" t="s">
        <v>42</v>
      </c>
      <c r="H444" s="39" t="s">
        <v>1333</v>
      </c>
      <c r="I444" s="39" t="s">
        <v>1934</v>
      </c>
      <c r="J444" s="39" t="s">
        <v>1935</v>
      </c>
      <c r="K444" s="39" t="s">
        <v>42</v>
      </c>
      <c r="L444" s="39" t="s">
        <v>42</v>
      </c>
      <c r="M444" s="39" t="s">
        <v>1936</v>
      </c>
      <c r="N444" s="39" t="s">
        <v>42</v>
      </c>
    </row>
    <row r="445" spans="1:14" ht="15" customHeight="1">
      <c r="A445" s="39" t="s">
        <v>1220</v>
      </c>
      <c r="B445" s="39" t="s">
        <v>1221</v>
      </c>
      <c r="C445" s="46">
        <v>3</v>
      </c>
      <c r="D445" s="39" t="s">
        <v>1335</v>
      </c>
      <c r="E445" s="39" t="s">
        <v>1301</v>
      </c>
      <c r="F445" s="39" t="s">
        <v>42</v>
      </c>
      <c r="G445" s="39" t="s">
        <v>42</v>
      </c>
      <c r="H445" s="39" t="s">
        <v>1335</v>
      </c>
      <c r="I445" s="39" t="s">
        <v>1937</v>
      </c>
      <c r="J445" s="48" t="s">
        <v>1938</v>
      </c>
      <c r="K445" s="39" t="s">
        <v>42</v>
      </c>
      <c r="L445" s="39" t="s">
        <v>42</v>
      </c>
      <c r="M445" s="39" t="s">
        <v>1936</v>
      </c>
      <c r="N445" s="39" t="s">
        <v>42</v>
      </c>
    </row>
    <row r="446" spans="1:14" ht="15" customHeight="1">
      <c r="A446" s="39" t="s">
        <v>1220</v>
      </c>
      <c r="B446" s="39" t="s">
        <v>1221</v>
      </c>
      <c r="C446" s="46">
        <v>4</v>
      </c>
      <c r="D446" s="39" t="s">
        <v>1335</v>
      </c>
      <c r="E446" s="39" t="s">
        <v>1301</v>
      </c>
      <c r="F446" s="39" t="s">
        <v>42</v>
      </c>
      <c r="G446" s="39" t="s">
        <v>42</v>
      </c>
      <c r="H446" s="39" t="s">
        <v>1335</v>
      </c>
      <c r="I446" s="39" t="s">
        <v>1937</v>
      </c>
      <c r="J446" s="48" t="s">
        <v>1938</v>
      </c>
      <c r="K446" s="39" t="s">
        <v>42</v>
      </c>
      <c r="L446" s="39" t="s">
        <v>42</v>
      </c>
      <c r="M446" s="39" t="s">
        <v>1936</v>
      </c>
      <c r="N446" s="39" t="s">
        <v>42</v>
      </c>
    </row>
    <row r="447" spans="1:14" s="9" customFormat="1" ht="15" customHeight="1">
      <c r="A447" s="40" t="s">
        <v>1220</v>
      </c>
      <c r="B447" s="40" t="s">
        <v>1221</v>
      </c>
      <c r="C447" s="47">
        <v>5</v>
      </c>
      <c r="D447" s="40" t="s">
        <v>1335</v>
      </c>
      <c r="E447" s="40" t="s">
        <v>1301</v>
      </c>
      <c r="F447" s="40" t="s">
        <v>42</v>
      </c>
      <c r="G447" s="40" t="s">
        <v>42</v>
      </c>
      <c r="H447" s="40" t="s">
        <v>1335</v>
      </c>
      <c r="I447" s="40" t="s">
        <v>1937</v>
      </c>
      <c r="J447" s="50" t="s">
        <v>1938</v>
      </c>
      <c r="K447" s="40" t="s">
        <v>42</v>
      </c>
      <c r="L447" s="40" t="s">
        <v>42</v>
      </c>
      <c r="M447" s="40" t="s">
        <v>1936</v>
      </c>
      <c r="N447" s="40" t="s">
        <v>42</v>
      </c>
    </row>
    <row r="448" spans="1:14" ht="15" customHeight="1">
      <c r="A448" s="39" t="s">
        <v>1228</v>
      </c>
      <c r="B448" s="39" t="s">
        <v>1229</v>
      </c>
      <c r="C448" s="46">
        <v>1</v>
      </c>
      <c r="D448" s="39" t="s">
        <v>1939</v>
      </c>
      <c r="E448" s="39" t="s">
        <v>1381</v>
      </c>
      <c r="F448" s="39" t="s">
        <v>42</v>
      </c>
      <c r="G448" s="39" t="s">
        <v>42</v>
      </c>
      <c r="H448" s="39" t="s">
        <v>1940</v>
      </c>
      <c r="I448" s="39" t="s">
        <v>1941</v>
      </c>
      <c r="J448" s="48" t="s">
        <v>1942</v>
      </c>
      <c r="K448" s="39" t="s">
        <v>42</v>
      </c>
      <c r="L448" s="39" t="s">
        <v>42</v>
      </c>
      <c r="M448" s="39" t="s">
        <v>1721</v>
      </c>
      <c r="N448" s="39" t="s">
        <v>42</v>
      </c>
    </row>
    <row r="449" spans="1:14" s="9" customFormat="1" ht="15" customHeight="1">
      <c r="A449" s="40" t="s">
        <v>1228</v>
      </c>
      <c r="B449" s="40" t="s">
        <v>1229</v>
      </c>
      <c r="C449" s="47">
        <v>2</v>
      </c>
      <c r="D449" s="40" t="s">
        <v>1943</v>
      </c>
      <c r="E449" s="40" t="s">
        <v>1381</v>
      </c>
      <c r="F449" s="40" t="s">
        <v>42</v>
      </c>
      <c r="G449" s="40" t="s">
        <v>42</v>
      </c>
      <c r="H449" s="40" t="s">
        <v>1944</v>
      </c>
      <c r="I449" s="40" t="s">
        <v>1945</v>
      </c>
      <c r="J449" s="50" t="s">
        <v>1400</v>
      </c>
      <c r="K449" s="40" t="s">
        <v>42</v>
      </c>
      <c r="L449" s="40" t="s">
        <v>42</v>
      </c>
      <c r="M449" s="40" t="s">
        <v>1721</v>
      </c>
      <c r="N449" s="40" t="s">
        <v>42</v>
      </c>
    </row>
    <row r="450" spans="1:14" ht="15" customHeight="1">
      <c r="A450" s="39" t="s">
        <v>1232</v>
      </c>
      <c r="B450" s="39" t="s">
        <v>1233</v>
      </c>
      <c r="C450" s="46">
        <v>1</v>
      </c>
      <c r="D450" s="39" t="s">
        <v>1596</v>
      </c>
      <c r="E450" s="39" t="s">
        <v>1301</v>
      </c>
      <c r="F450" s="39" t="s">
        <v>42</v>
      </c>
      <c r="G450" s="39" t="s">
        <v>42</v>
      </c>
      <c r="H450" s="39" t="s">
        <v>1596</v>
      </c>
      <c r="I450" s="39" t="s">
        <v>42</v>
      </c>
      <c r="J450" s="39" t="s">
        <v>42</v>
      </c>
      <c r="K450" s="39" t="s">
        <v>42</v>
      </c>
      <c r="L450" s="39" t="s">
        <v>42</v>
      </c>
      <c r="M450" s="39" t="s">
        <v>1304</v>
      </c>
      <c r="N450" s="39" t="s">
        <v>42</v>
      </c>
    </row>
    <row r="451" spans="1:14" ht="15" customHeight="1">
      <c r="A451" s="39" t="s">
        <v>1232</v>
      </c>
      <c r="B451" s="39" t="s">
        <v>1233</v>
      </c>
      <c r="C451" s="46">
        <v>2</v>
      </c>
      <c r="D451" s="39" t="s">
        <v>1423</v>
      </c>
      <c r="E451" s="39" t="s">
        <v>1301</v>
      </c>
      <c r="F451" s="39" t="s">
        <v>42</v>
      </c>
      <c r="G451" s="39" t="s">
        <v>42</v>
      </c>
      <c r="H451" s="39" t="s">
        <v>1423</v>
      </c>
      <c r="I451" s="39" t="s">
        <v>42</v>
      </c>
      <c r="J451" s="39" t="s">
        <v>42</v>
      </c>
      <c r="K451" s="39" t="s">
        <v>42</v>
      </c>
      <c r="L451" s="39" t="s">
        <v>42</v>
      </c>
      <c r="M451" s="39" t="s">
        <v>1304</v>
      </c>
      <c r="N451" s="39" t="s">
        <v>42</v>
      </c>
    </row>
    <row r="452" spans="1:14" ht="15" customHeight="1">
      <c r="A452" s="39" t="s">
        <v>1232</v>
      </c>
      <c r="B452" s="39" t="s">
        <v>1233</v>
      </c>
      <c r="C452" s="46">
        <v>3</v>
      </c>
      <c r="D452" s="39" t="s">
        <v>1580</v>
      </c>
      <c r="E452" s="39" t="s">
        <v>1301</v>
      </c>
      <c r="F452" s="39" t="s">
        <v>42</v>
      </c>
      <c r="G452" s="39" t="s">
        <v>42</v>
      </c>
      <c r="H452" s="39" t="s">
        <v>1580</v>
      </c>
      <c r="I452" s="39" t="s">
        <v>42</v>
      </c>
      <c r="J452" s="39" t="s">
        <v>42</v>
      </c>
      <c r="K452" s="39" t="s">
        <v>42</v>
      </c>
      <c r="L452" s="39" t="s">
        <v>42</v>
      </c>
      <c r="M452" s="39" t="s">
        <v>1304</v>
      </c>
      <c r="N452" s="39" t="s">
        <v>42</v>
      </c>
    </row>
    <row r="453" spans="1:14" ht="15" customHeight="1">
      <c r="A453" s="39" t="s">
        <v>1232</v>
      </c>
      <c r="B453" s="39" t="s">
        <v>1233</v>
      </c>
      <c r="C453" s="46">
        <v>4</v>
      </c>
      <c r="D453" s="39" t="s">
        <v>1438</v>
      </c>
      <c r="E453" s="39" t="s">
        <v>1301</v>
      </c>
      <c r="F453" s="39" t="s">
        <v>42</v>
      </c>
      <c r="G453" s="39" t="s">
        <v>42</v>
      </c>
      <c r="H453" s="39" t="s">
        <v>1438</v>
      </c>
      <c r="I453" s="39" t="s">
        <v>42</v>
      </c>
      <c r="J453" s="39" t="s">
        <v>42</v>
      </c>
      <c r="K453" s="39" t="s">
        <v>42</v>
      </c>
      <c r="L453" s="39" t="s">
        <v>42</v>
      </c>
      <c r="M453" s="39" t="s">
        <v>1304</v>
      </c>
      <c r="N453" s="39" t="s">
        <v>42</v>
      </c>
    </row>
    <row r="454" spans="1:14" ht="15" customHeight="1">
      <c r="A454" s="39" t="s">
        <v>1232</v>
      </c>
      <c r="B454" s="39" t="s">
        <v>1233</v>
      </c>
      <c r="C454" s="46">
        <v>5</v>
      </c>
      <c r="D454" s="39" t="s">
        <v>1333</v>
      </c>
      <c r="E454" s="39" t="s">
        <v>1301</v>
      </c>
      <c r="F454" s="39" t="s">
        <v>42</v>
      </c>
      <c r="G454" s="39" t="s">
        <v>42</v>
      </c>
      <c r="H454" s="39" t="s">
        <v>1333</v>
      </c>
      <c r="I454" s="39" t="s">
        <v>42</v>
      </c>
      <c r="J454" s="39" t="s">
        <v>42</v>
      </c>
      <c r="K454" s="39" t="s">
        <v>42</v>
      </c>
      <c r="L454" s="39" t="s">
        <v>42</v>
      </c>
      <c r="M454" s="39" t="s">
        <v>1304</v>
      </c>
      <c r="N454" s="39" t="s">
        <v>42</v>
      </c>
    </row>
    <row r="455" spans="1:14" s="9" customFormat="1" ht="15" customHeight="1">
      <c r="A455" s="40" t="s">
        <v>1232</v>
      </c>
      <c r="B455" s="40" t="s">
        <v>1233</v>
      </c>
      <c r="C455" s="47">
        <v>6</v>
      </c>
      <c r="D455" s="40" t="s">
        <v>1335</v>
      </c>
      <c r="E455" s="40" t="s">
        <v>1301</v>
      </c>
      <c r="F455" s="40" t="s">
        <v>42</v>
      </c>
      <c r="G455" s="40" t="s">
        <v>42</v>
      </c>
      <c r="H455" s="40" t="s">
        <v>1335</v>
      </c>
      <c r="I455" s="40" t="s">
        <v>42</v>
      </c>
      <c r="J455" s="40" t="s">
        <v>42</v>
      </c>
      <c r="K455" s="40" t="s">
        <v>42</v>
      </c>
      <c r="L455" s="40" t="s">
        <v>42</v>
      </c>
      <c r="M455" s="40" t="s">
        <v>1304</v>
      </c>
      <c r="N455" s="40" t="s">
        <v>42</v>
      </c>
    </row>
    <row r="456" spans="1:14" ht="15" customHeight="1">
      <c r="A456" s="39" t="s">
        <v>1237</v>
      </c>
      <c r="B456" s="39" t="s">
        <v>1238</v>
      </c>
      <c r="C456" s="46">
        <v>1</v>
      </c>
      <c r="D456" s="38" t="s">
        <v>1946</v>
      </c>
      <c r="E456" s="39" t="s">
        <v>1947</v>
      </c>
      <c r="F456" s="39" t="s">
        <v>42</v>
      </c>
      <c r="G456" s="39">
        <v>45000</v>
      </c>
      <c r="H456" s="39" t="s">
        <v>1948</v>
      </c>
      <c r="I456" s="39" t="s">
        <v>1949</v>
      </c>
      <c r="J456" s="39" t="s">
        <v>1950</v>
      </c>
      <c r="K456" s="39" t="s">
        <v>1951</v>
      </c>
      <c r="L456" s="39" t="s">
        <v>42</v>
      </c>
      <c r="M456" s="39" t="s">
        <v>42</v>
      </c>
      <c r="N456" s="39" t="s">
        <v>42</v>
      </c>
    </row>
    <row r="457" spans="1:14" ht="15" customHeight="1">
      <c r="A457" s="39" t="s">
        <v>1237</v>
      </c>
      <c r="B457" s="39" t="s">
        <v>1238</v>
      </c>
      <c r="C457" s="46">
        <v>2</v>
      </c>
      <c r="D457" s="39" t="s">
        <v>1952</v>
      </c>
      <c r="E457" s="40" t="s">
        <v>1402</v>
      </c>
      <c r="F457" s="39" t="s">
        <v>42</v>
      </c>
      <c r="G457" s="39">
        <v>827000</v>
      </c>
      <c r="H457" s="39" t="s">
        <v>1953</v>
      </c>
      <c r="I457" s="39" t="s">
        <v>1954</v>
      </c>
      <c r="J457" s="39" t="s">
        <v>1955</v>
      </c>
      <c r="K457" s="39" t="s">
        <v>1956</v>
      </c>
      <c r="L457" s="39" t="s">
        <v>42</v>
      </c>
      <c r="M457" s="39" t="s">
        <v>42</v>
      </c>
      <c r="N457" s="39" t="s">
        <v>42</v>
      </c>
    </row>
    <row r="458" spans="1:14" s="9" customFormat="1" ht="15" customHeight="1">
      <c r="A458" s="40" t="s">
        <v>1237</v>
      </c>
      <c r="B458" s="40" t="s">
        <v>1238</v>
      </c>
      <c r="C458" s="47">
        <v>3</v>
      </c>
      <c r="D458" s="40" t="s">
        <v>1957</v>
      </c>
      <c r="E458" s="40" t="s">
        <v>1402</v>
      </c>
      <c r="F458" s="40" t="s">
        <v>42</v>
      </c>
      <c r="G458" s="40">
        <v>2601000</v>
      </c>
      <c r="H458" s="42" t="s">
        <v>1958</v>
      </c>
      <c r="I458" s="40" t="s">
        <v>1959</v>
      </c>
      <c r="J458" s="40" t="s">
        <v>1960</v>
      </c>
      <c r="K458" s="40"/>
      <c r="L458" s="40" t="s">
        <v>42</v>
      </c>
      <c r="M458" s="40" t="s">
        <v>42</v>
      </c>
      <c r="N458" s="40" t="s">
        <v>42</v>
      </c>
    </row>
    <row r="459" spans="1:14" s="9" customFormat="1" ht="15" customHeight="1">
      <c r="A459" s="40" t="s">
        <v>1246</v>
      </c>
      <c r="B459" s="40" t="s">
        <v>1247</v>
      </c>
      <c r="C459" s="47">
        <v>1</v>
      </c>
      <c r="D459" s="40" t="s">
        <v>1664</v>
      </c>
      <c r="E459" s="40" t="s">
        <v>1961</v>
      </c>
      <c r="F459" s="40" t="s">
        <v>42</v>
      </c>
      <c r="G459" s="40" t="s">
        <v>42</v>
      </c>
      <c r="H459" s="40" t="s">
        <v>1488</v>
      </c>
      <c r="I459" s="40" t="s">
        <v>1962</v>
      </c>
      <c r="J459" s="40" t="s">
        <v>42</v>
      </c>
      <c r="K459" s="40" t="s">
        <v>42</v>
      </c>
      <c r="L459" s="40" t="s">
        <v>42</v>
      </c>
      <c r="M459" s="40" t="s">
        <v>42</v>
      </c>
      <c r="N459" s="47" t="s">
        <v>42</v>
      </c>
    </row>
    <row r="460" spans="1:14" s="9" customFormat="1" ht="15" customHeight="1">
      <c r="A460" s="40" t="s">
        <v>1253</v>
      </c>
      <c r="B460" s="40" t="s">
        <v>1254</v>
      </c>
      <c r="C460" s="47">
        <v>1</v>
      </c>
      <c r="D460" s="40" t="s">
        <v>1635</v>
      </c>
      <c r="E460" s="40" t="s">
        <v>1402</v>
      </c>
      <c r="F460" s="40" t="s">
        <v>42</v>
      </c>
      <c r="G460" s="40" t="s">
        <v>42</v>
      </c>
      <c r="H460" s="40" t="s">
        <v>1480</v>
      </c>
      <c r="I460" s="40" t="s">
        <v>42</v>
      </c>
      <c r="J460" s="40" t="s">
        <v>42</v>
      </c>
      <c r="K460" s="40" t="s">
        <v>42</v>
      </c>
      <c r="L460" s="40" t="s">
        <v>42</v>
      </c>
      <c r="M460" s="40" t="s">
        <v>42</v>
      </c>
      <c r="N460" s="40" t="s">
        <v>1347</v>
      </c>
    </row>
    <row r="461" spans="1:14" ht="15" customHeight="1">
      <c r="A461" s="38" t="s">
        <v>1260</v>
      </c>
      <c r="B461" s="39" t="s">
        <v>1261</v>
      </c>
      <c r="C461" s="46">
        <v>1</v>
      </c>
      <c r="D461" s="39" t="s">
        <v>1963</v>
      </c>
      <c r="E461" s="39" t="s">
        <v>1381</v>
      </c>
      <c r="F461" s="39" t="s">
        <v>42</v>
      </c>
      <c r="G461" s="39">
        <v>0.4</v>
      </c>
      <c r="H461" s="39" t="s">
        <v>1963</v>
      </c>
      <c r="I461" s="39" t="s">
        <v>1964</v>
      </c>
      <c r="J461" s="48" t="s">
        <v>1965</v>
      </c>
      <c r="K461" s="39" t="s">
        <v>42</v>
      </c>
      <c r="L461" s="39" t="s">
        <v>42</v>
      </c>
      <c r="M461" s="39" t="s">
        <v>42</v>
      </c>
      <c r="N461" s="39" t="s">
        <v>1447</v>
      </c>
    </row>
    <row r="462" spans="1:14" ht="15" customHeight="1">
      <c r="A462" s="38" t="s">
        <v>1260</v>
      </c>
      <c r="B462" s="39" t="s">
        <v>1261</v>
      </c>
      <c r="C462" s="46">
        <v>2</v>
      </c>
      <c r="D462" s="39" t="s">
        <v>1966</v>
      </c>
      <c r="E462" s="39" t="s">
        <v>1381</v>
      </c>
      <c r="F462" s="39" t="s">
        <v>42</v>
      </c>
      <c r="G462" s="39">
        <v>6</v>
      </c>
      <c r="H462" s="39" t="s">
        <v>1966</v>
      </c>
      <c r="I462" s="39" t="s">
        <v>1967</v>
      </c>
      <c r="J462" s="48" t="s">
        <v>1965</v>
      </c>
      <c r="K462" s="39" t="s">
        <v>42</v>
      </c>
      <c r="L462" s="39" t="s">
        <v>42</v>
      </c>
      <c r="M462" s="39" t="s">
        <v>42</v>
      </c>
      <c r="N462" s="39" t="s">
        <v>1447</v>
      </c>
    </row>
    <row r="463" spans="1:14" ht="15" customHeight="1">
      <c r="A463" s="38" t="s">
        <v>1260</v>
      </c>
      <c r="B463" s="39" t="s">
        <v>1261</v>
      </c>
      <c r="C463" s="46">
        <v>3</v>
      </c>
      <c r="D463" s="39" t="s">
        <v>1628</v>
      </c>
      <c r="E463" s="39" t="s">
        <v>1381</v>
      </c>
      <c r="F463" s="39" t="s">
        <v>42</v>
      </c>
      <c r="G463" s="39">
        <v>9</v>
      </c>
      <c r="H463" s="39" t="s">
        <v>1628</v>
      </c>
      <c r="I463" s="39" t="s">
        <v>1968</v>
      </c>
      <c r="J463" s="48" t="s">
        <v>1969</v>
      </c>
      <c r="K463" s="39" t="s">
        <v>42</v>
      </c>
      <c r="L463" s="39" t="s">
        <v>42</v>
      </c>
      <c r="M463" s="39" t="s">
        <v>42</v>
      </c>
      <c r="N463" s="39" t="s">
        <v>1447</v>
      </c>
    </row>
  </sheetData>
  <autoFilter ref="D1:D68" xr:uid="{F860B303-F395-40A5-BBC4-857EE0A21F53}"/>
  <mergeCells count="1">
    <mergeCell ref="A1:C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F4E0-7526-4E7D-B3D1-F3646700CA36}">
  <sheetPr>
    <pageSetUpPr fitToPage="1"/>
  </sheetPr>
  <dimension ref="A1:J133"/>
  <sheetViews>
    <sheetView tabSelected="1" zoomScale="70" zoomScaleNormal="70" workbookViewId="0">
      <selection activeCell="C13" sqref="C13"/>
    </sheetView>
  </sheetViews>
  <sheetFormatPr defaultRowHeight="15" customHeight="1"/>
  <cols>
    <col min="1" max="1" width="8" customWidth="1"/>
    <col min="2" max="2" width="21.26953125" customWidth="1"/>
    <col min="3" max="4" width="55.453125" customWidth="1"/>
    <col min="5" max="5" width="31.7265625" customWidth="1"/>
    <col min="6" max="7" width="8.7265625" customWidth="1"/>
    <col min="8" max="8" width="12.1796875" customWidth="1"/>
    <col min="9" max="9" width="29" customWidth="1"/>
  </cols>
  <sheetData>
    <row r="1" spans="1:10" ht="14.5">
      <c r="A1" s="74" t="s">
        <v>1970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4.5">
      <c r="A2" t="s">
        <v>6</v>
      </c>
      <c r="B2" t="s">
        <v>1971</v>
      </c>
      <c r="C2" t="s">
        <v>1972</v>
      </c>
      <c r="D2" s="33" t="s">
        <v>1973</v>
      </c>
      <c r="E2" t="s">
        <v>1974</v>
      </c>
      <c r="F2" t="s">
        <v>1975</v>
      </c>
      <c r="G2" t="s">
        <v>1976</v>
      </c>
      <c r="H2" t="s">
        <v>1977</v>
      </c>
      <c r="I2" t="s">
        <v>1978</v>
      </c>
      <c r="J2" t="s">
        <v>1979</v>
      </c>
    </row>
    <row r="3" spans="1:10" ht="14.5">
      <c r="A3" t="s">
        <v>36</v>
      </c>
      <c r="B3" t="s">
        <v>37</v>
      </c>
      <c r="C3" t="s">
        <v>1980</v>
      </c>
      <c r="D3" s="33" t="s">
        <v>1981</v>
      </c>
      <c r="E3" t="s">
        <v>1982</v>
      </c>
      <c r="F3">
        <v>17</v>
      </c>
      <c r="G3">
        <v>5</v>
      </c>
      <c r="I3" s="4" t="s">
        <v>1983</v>
      </c>
      <c r="J3">
        <v>2007</v>
      </c>
    </row>
    <row r="4" spans="1:10" ht="14.5">
      <c r="A4" t="s">
        <v>65</v>
      </c>
      <c r="B4" t="s">
        <v>66</v>
      </c>
      <c r="C4" t="s">
        <v>1984</v>
      </c>
      <c r="D4" s="33" t="s">
        <v>1985</v>
      </c>
      <c r="E4" t="s">
        <v>1986</v>
      </c>
      <c r="F4">
        <v>26</v>
      </c>
      <c r="G4">
        <v>6</v>
      </c>
      <c r="H4" t="s">
        <v>1987</v>
      </c>
      <c r="I4" s="4" t="s">
        <v>1988</v>
      </c>
      <c r="J4">
        <v>2012</v>
      </c>
    </row>
    <row r="5" spans="1:10" ht="14.5">
      <c r="A5" t="s">
        <v>81</v>
      </c>
      <c r="B5" t="s">
        <v>82</v>
      </c>
      <c r="C5" t="s">
        <v>1989</v>
      </c>
      <c r="D5" s="33" t="s">
        <v>1990</v>
      </c>
      <c r="E5" t="s">
        <v>1991</v>
      </c>
      <c r="F5">
        <v>26</v>
      </c>
      <c r="G5">
        <v>2</v>
      </c>
      <c r="H5" t="s">
        <v>1992</v>
      </c>
      <c r="I5" s="4" t="s">
        <v>1993</v>
      </c>
      <c r="J5">
        <v>2014</v>
      </c>
    </row>
    <row r="6" spans="1:10" ht="14.5">
      <c r="A6" t="s">
        <v>89</v>
      </c>
      <c r="B6" t="s">
        <v>90</v>
      </c>
      <c r="C6" t="s">
        <v>1994</v>
      </c>
      <c r="D6" s="33" t="s">
        <v>1995</v>
      </c>
      <c r="E6" t="s">
        <v>1996</v>
      </c>
      <c r="F6">
        <v>45</v>
      </c>
      <c r="G6">
        <v>2</v>
      </c>
      <c r="H6" t="s">
        <v>1997</v>
      </c>
      <c r="I6" s="4" t="s">
        <v>1998</v>
      </c>
      <c r="J6">
        <v>2017</v>
      </c>
    </row>
    <row r="7" spans="1:10" ht="14.5">
      <c r="A7" t="s">
        <v>104</v>
      </c>
      <c r="B7" t="s">
        <v>105</v>
      </c>
      <c r="C7" t="s">
        <v>1999</v>
      </c>
      <c r="D7" s="33" t="s">
        <v>2000</v>
      </c>
      <c r="E7" t="s">
        <v>2001</v>
      </c>
      <c r="F7">
        <v>12</v>
      </c>
      <c r="G7">
        <v>6</v>
      </c>
      <c r="I7" t="s">
        <v>2002</v>
      </c>
      <c r="J7">
        <v>2017</v>
      </c>
    </row>
    <row r="8" spans="1:10" ht="14.5">
      <c r="A8" t="s">
        <v>114</v>
      </c>
      <c r="B8" t="s">
        <v>115</v>
      </c>
      <c r="C8" t="s">
        <v>2003</v>
      </c>
      <c r="D8" s="33" t="s">
        <v>2004</v>
      </c>
      <c r="E8" t="s">
        <v>2005</v>
      </c>
      <c r="F8">
        <v>212</v>
      </c>
      <c r="G8">
        <v>105811</v>
      </c>
      <c r="I8" t="s">
        <v>2006</v>
      </c>
      <c r="J8">
        <v>2021</v>
      </c>
    </row>
    <row r="9" spans="1:10" ht="14.5">
      <c r="A9" t="s">
        <v>121</v>
      </c>
      <c r="B9" t="s">
        <v>122</v>
      </c>
      <c r="C9" t="s">
        <v>2007</v>
      </c>
      <c r="D9" s="33" t="s">
        <v>2008</v>
      </c>
      <c r="E9" t="s">
        <v>2009</v>
      </c>
      <c r="F9">
        <v>80</v>
      </c>
      <c r="I9" t="s">
        <v>2010</v>
      </c>
      <c r="J9">
        <v>2024</v>
      </c>
    </row>
    <row r="10" spans="1:10" ht="14.5">
      <c r="A10" t="s">
        <v>137</v>
      </c>
      <c r="B10" t="s">
        <v>138</v>
      </c>
      <c r="C10" t="s">
        <v>2011</v>
      </c>
      <c r="D10" s="33" t="s">
        <v>2012</v>
      </c>
      <c r="E10" t="s">
        <v>2013</v>
      </c>
      <c r="F10">
        <v>15</v>
      </c>
      <c r="G10">
        <v>11</v>
      </c>
      <c r="I10" t="s">
        <v>2014</v>
      </c>
      <c r="J10">
        <v>2024</v>
      </c>
    </row>
    <row r="11" spans="1:10" ht="14.5">
      <c r="A11" t="s">
        <v>145</v>
      </c>
      <c r="B11" t="s">
        <v>146</v>
      </c>
      <c r="C11" t="s">
        <v>2015</v>
      </c>
      <c r="D11" s="33" t="s">
        <v>2016</v>
      </c>
      <c r="E11" t="s">
        <v>2017</v>
      </c>
      <c r="F11">
        <v>146</v>
      </c>
      <c r="H11" t="s">
        <v>2018</v>
      </c>
      <c r="I11" t="s">
        <v>2019</v>
      </c>
      <c r="J11">
        <v>2019</v>
      </c>
    </row>
    <row r="12" spans="1:10" ht="29">
      <c r="A12" t="s">
        <v>152</v>
      </c>
      <c r="B12" t="s">
        <v>153</v>
      </c>
      <c r="C12" t="s">
        <v>2020</v>
      </c>
      <c r="D12" s="33" t="s">
        <v>2021</v>
      </c>
      <c r="E12" t="s">
        <v>2022</v>
      </c>
      <c r="F12">
        <v>94</v>
      </c>
      <c r="G12">
        <v>1</v>
      </c>
      <c r="H12" t="s">
        <v>2023</v>
      </c>
      <c r="I12" s="2" t="s">
        <v>2024</v>
      </c>
      <c r="J12">
        <v>2008</v>
      </c>
    </row>
    <row r="13" spans="1:10" ht="43.5">
      <c r="A13" t="s">
        <v>177</v>
      </c>
      <c r="B13" t="s">
        <v>178</v>
      </c>
      <c r="C13" t="s">
        <v>2025</v>
      </c>
      <c r="D13" s="33" t="s">
        <v>2026</v>
      </c>
      <c r="E13" t="s">
        <v>1986</v>
      </c>
      <c r="F13">
        <v>19</v>
      </c>
      <c r="G13">
        <v>1</v>
      </c>
      <c r="H13" t="s">
        <v>2027</v>
      </c>
      <c r="I13" s="2" t="s">
        <v>2028</v>
      </c>
      <c r="J13">
        <v>2005</v>
      </c>
    </row>
    <row r="14" spans="1:10" ht="14.5">
      <c r="A14" t="s">
        <v>182</v>
      </c>
      <c r="B14" t="s">
        <v>183</v>
      </c>
      <c r="C14" t="s">
        <v>2029</v>
      </c>
      <c r="D14" s="33" t="s">
        <v>2030</v>
      </c>
      <c r="E14" t="s">
        <v>2031</v>
      </c>
      <c r="F14">
        <v>23</v>
      </c>
      <c r="G14">
        <v>4</v>
      </c>
      <c r="H14" t="s">
        <v>2032</v>
      </c>
      <c r="I14" t="s">
        <v>2033</v>
      </c>
      <c r="J14">
        <v>2013</v>
      </c>
    </row>
    <row r="15" spans="1:10" ht="14.5">
      <c r="A15" t="s">
        <v>205</v>
      </c>
      <c r="B15" t="s">
        <v>206</v>
      </c>
      <c r="C15" t="s">
        <v>2034</v>
      </c>
      <c r="D15" s="33" t="s">
        <v>2035</v>
      </c>
      <c r="E15" t="s">
        <v>2036</v>
      </c>
      <c r="F15">
        <v>82</v>
      </c>
      <c r="G15">
        <v>6</v>
      </c>
      <c r="H15" t="s">
        <v>2037</v>
      </c>
      <c r="I15" t="s">
        <v>2038</v>
      </c>
      <c r="J15">
        <v>2013</v>
      </c>
    </row>
    <row r="16" spans="1:10" ht="43.5">
      <c r="A16" t="s">
        <v>227</v>
      </c>
      <c r="B16" t="s">
        <v>228</v>
      </c>
      <c r="C16" s="2" t="s">
        <v>2039</v>
      </c>
      <c r="D16" s="33" t="s">
        <v>2040</v>
      </c>
      <c r="E16" t="s">
        <v>2041</v>
      </c>
      <c r="F16">
        <v>46</v>
      </c>
      <c r="G16">
        <v>2</v>
      </c>
      <c r="H16" t="s">
        <v>2042</v>
      </c>
      <c r="I16" t="s">
        <v>2043</v>
      </c>
      <c r="J16">
        <v>2018</v>
      </c>
    </row>
    <row r="17" spans="1:10" ht="14.5">
      <c r="A17" t="s">
        <v>238</v>
      </c>
      <c r="B17" t="s">
        <v>239</v>
      </c>
      <c r="C17" t="s">
        <v>2044</v>
      </c>
      <c r="D17" s="33" t="s">
        <v>2045</v>
      </c>
      <c r="E17" t="s">
        <v>2046</v>
      </c>
      <c r="F17">
        <v>11</v>
      </c>
      <c r="G17">
        <v>2</v>
      </c>
      <c r="H17" t="s">
        <v>2047</v>
      </c>
      <c r="I17" t="s">
        <v>2048</v>
      </c>
      <c r="J17">
        <v>2014</v>
      </c>
    </row>
    <row r="18" spans="1:10" ht="14.5">
      <c r="A18" t="s">
        <v>249</v>
      </c>
      <c r="B18" t="s">
        <v>250</v>
      </c>
      <c r="C18" t="s">
        <v>2049</v>
      </c>
      <c r="D18" s="33" t="s">
        <v>2050</v>
      </c>
      <c r="E18" t="s">
        <v>2051</v>
      </c>
      <c r="F18">
        <v>31</v>
      </c>
      <c r="G18">
        <v>3</v>
      </c>
      <c r="H18" t="s">
        <v>2052</v>
      </c>
      <c r="I18" t="s">
        <v>2053</v>
      </c>
      <c r="J18">
        <v>2005</v>
      </c>
    </row>
    <row r="19" spans="1:10" ht="14.5">
      <c r="A19" t="s">
        <v>261</v>
      </c>
      <c r="B19" t="s">
        <v>262</v>
      </c>
      <c r="C19" t="s">
        <v>2054</v>
      </c>
      <c r="D19" s="33" t="s">
        <v>2055</v>
      </c>
      <c r="E19" t="s">
        <v>2056</v>
      </c>
      <c r="F19">
        <v>80</v>
      </c>
      <c r="G19">
        <v>4</v>
      </c>
      <c r="H19" t="s">
        <v>2057</v>
      </c>
      <c r="I19" s="2" t="s">
        <v>2058</v>
      </c>
      <c r="J19">
        <v>2016</v>
      </c>
    </row>
    <row r="20" spans="1:10" ht="43.5">
      <c r="A20" t="s">
        <v>273</v>
      </c>
      <c r="B20" t="s">
        <v>274</v>
      </c>
      <c r="C20" s="2" t="s">
        <v>2059</v>
      </c>
      <c r="D20" s="33" t="s">
        <v>2060</v>
      </c>
      <c r="E20" t="s">
        <v>1996</v>
      </c>
      <c r="F20">
        <v>53</v>
      </c>
      <c r="G20">
        <v>2</v>
      </c>
      <c r="H20" t="s">
        <v>2061</v>
      </c>
      <c r="I20" t="s">
        <v>2062</v>
      </c>
      <c r="J20">
        <v>2025</v>
      </c>
    </row>
    <row r="21" spans="1:10" ht="14.5">
      <c r="A21" t="s">
        <v>284</v>
      </c>
      <c r="B21" t="s">
        <v>285</v>
      </c>
      <c r="C21" t="s">
        <v>2063</v>
      </c>
      <c r="D21" s="33" t="s">
        <v>2064</v>
      </c>
      <c r="E21" t="s">
        <v>2065</v>
      </c>
      <c r="F21">
        <v>127</v>
      </c>
      <c r="H21" t="s">
        <v>2066</v>
      </c>
      <c r="I21" t="s">
        <v>2067</v>
      </c>
      <c r="J21">
        <v>1995</v>
      </c>
    </row>
    <row r="22" spans="1:10" ht="14.5">
      <c r="A22" t="s">
        <v>289</v>
      </c>
      <c r="B22" t="s">
        <v>290</v>
      </c>
      <c r="C22" t="s">
        <v>2068</v>
      </c>
      <c r="D22" s="33" t="s">
        <v>2069</v>
      </c>
      <c r="E22" t="s">
        <v>2070</v>
      </c>
      <c r="F22">
        <v>12</v>
      </c>
      <c r="G22">
        <v>5</v>
      </c>
      <c r="I22" s="2" t="s">
        <v>2071</v>
      </c>
      <c r="J22">
        <v>2017</v>
      </c>
    </row>
    <row r="23" spans="1:10" ht="43.5">
      <c r="A23" t="s">
        <v>299</v>
      </c>
      <c r="B23" t="s">
        <v>300</v>
      </c>
      <c r="C23" s="2" t="s">
        <v>2072</v>
      </c>
      <c r="D23" s="33" t="s">
        <v>2073</v>
      </c>
      <c r="E23" t="s">
        <v>2041</v>
      </c>
      <c r="F23">
        <v>48</v>
      </c>
      <c r="G23">
        <v>2</v>
      </c>
      <c r="H23" t="s">
        <v>2074</v>
      </c>
      <c r="I23" s="2" t="s">
        <v>2075</v>
      </c>
      <c r="J23">
        <v>2020</v>
      </c>
    </row>
    <row r="24" spans="1:10" ht="29">
      <c r="A24" t="s">
        <v>304</v>
      </c>
      <c r="B24" t="s">
        <v>305</v>
      </c>
      <c r="C24" t="s">
        <v>2076</v>
      </c>
      <c r="D24" s="33" t="s">
        <v>2077</v>
      </c>
      <c r="E24" t="s">
        <v>2078</v>
      </c>
      <c r="F24">
        <v>62</v>
      </c>
      <c r="G24">
        <v>10</v>
      </c>
      <c r="H24" t="s">
        <v>2079</v>
      </c>
      <c r="I24" s="2" t="s">
        <v>2080</v>
      </c>
      <c r="J24">
        <v>2025</v>
      </c>
    </row>
    <row r="25" spans="1:10" ht="14.5">
      <c r="A25" t="s">
        <v>314</v>
      </c>
      <c r="B25" t="s">
        <v>315</v>
      </c>
      <c r="C25" t="s">
        <v>2081</v>
      </c>
      <c r="D25" s="33" t="s">
        <v>2082</v>
      </c>
      <c r="E25" t="s">
        <v>2083</v>
      </c>
      <c r="F25">
        <v>8</v>
      </c>
      <c r="I25" t="s">
        <v>2084</v>
      </c>
      <c r="J25">
        <v>2022</v>
      </c>
    </row>
    <row r="26" spans="1:10" ht="14.5">
      <c r="A26" t="s">
        <v>326</v>
      </c>
      <c r="B26" t="s">
        <v>327</v>
      </c>
      <c r="C26" t="s">
        <v>2085</v>
      </c>
      <c r="D26" s="33" t="s">
        <v>2086</v>
      </c>
      <c r="E26" t="s">
        <v>2087</v>
      </c>
      <c r="F26">
        <v>68</v>
      </c>
      <c r="G26">
        <v>1</v>
      </c>
      <c r="H26" t="s">
        <v>2088</v>
      </c>
      <c r="J26">
        <v>1995</v>
      </c>
    </row>
    <row r="27" spans="1:10" ht="14.5">
      <c r="A27" t="s">
        <v>333</v>
      </c>
      <c r="B27" t="s">
        <v>334</v>
      </c>
      <c r="C27" t="s">
        <v>2089</v>
      </c>
      <c r="D27" s="33" t="s">
        <v>2090</v>
      </c>
      <c r="E27" t="s">
        <v>2091</v>
      </c>
      <c r="F27">
        <v>46</v>
      </c>
      <c r="G27">
        <v>3</v>
      </c>
      <c r="H27" t="s">
        <v>2092</v>
      </c>
      <c r="I27" t="s">
        <v>2093</v>
      </c>
      <c r="J27">
        <v>1986</v>
      </c>
    </row>
    <row r="28" spans="1:10" ht="43.5">
      <c r="A28" t="s">
        <v>345</v>
      </c>
      <c r="B28" t="s">
        <v>346</v>
      </c>
      <c r="C28" s="2" t="s">
        <v>2094</v>
      </c>
      <c r="D28" s="33" t="s">
        <v>2095</v>
      </c>
      <c r="E28" t="s">
        <v>2096</v>
      </c>
      <c r="F28">
        <v>168</v>
      </c>
      <c r="G28">
        <v>5</v>
      </c>
      <c r="I28" s="2" t="s">
        <v>2097</v>
      </c>
      <c r="J28">
        <v>2021</v>
      </c>
    </row>
    <row r="29" spans="1:10" ht="14.5">
      <c r="A29" t="s">
        <v>351</v>
      </c>
      <c r="B29" t="s">
        <v>352</v>
      </c>
      <c r="C29" t="s">
        <v>2098</v>
      </c>
      <c r="D29" s="33" t="s">
        <v>2099</v>
      </c>
      <c r="E29" t="s">
        <v>2087</v>
      </c>
      <c r="F29">
        <v>69</v>
      </c>
      <c r="G29">
        <v>1</v>
      </c>
      <c r="H29" t="s">
        <v>2100</v>
      </c>
      <c r="J29">
        <v>1996</v>
      </c>
    </row>
    <row r="30" spans="1:10" ht="43.5">
      <c r="A30" t="s">
        <v>357</v>
      </c>
      <c r="B30" t="s">
        <v>358</v>
      </c>
      <c r="C30" s="2" t="s">
        <v>2101</v>
      </c>
      <c r="D30" s="33" t="s">
        <v>2102</v>
      </c>
      <c r="E30" t="s">
        <v>2065</v>
      </c>
      <c r="F30">
        <v>208</v>
      </c>
      <c r="H30" t="s">
        <v>2103</v>
      </c>
      <c r="I30" t="s">
        <v>2104</v>
      </c>
      <c r="J30">
        <v>2000</v>
      </c>
    </row>
    <row r="31" spans="1:10" ht="43.5">
      <c r="A31" t="s">
        <v>362</v>
      </c>
      <c r="B31" t="s">
        <v>363</v>
      </c>
      <c r="C31" s="2" t="s">
        <v>2105</v>
      </c>
      <c r="D31" s="33" t="s">
        <v>2106</v>
      </c>
      <c r="E31" t="s">
        <v>2107</v>
      </c>
      <c r="F31">
        <v>71</v>
      </c>
      <c r="G31">
        <v>1</v>
      </c>
      <c r="H31" t="s">
        <v>2108</v>
      </c>
      <c r="I31" t="s">
        <v>2109</v>
      </c>
      <c r="J31">
        <v>2007</v>
      </c>
    </row>
    <row r="32" spans="1:10" ht="14.5">
      <c r="A32" t="s">
        <v>370</v>
      </c>
      <c r="B32" t="s">
        <v>371</v>
      </c>
      <c r="C32" t="s">
        <v>2110</v>
      </c>
      <c r="D32" s="33" t="s">
        <v>2111</v>
      </c>
      <c r="E32" t="s">
        <v>1996</v>
      </c>
      <c r="F32">
        <v>51</v>
      </c>
      <c r="G32">
        <v>2</v>
      </c>
      <c r="H32" t="s">
        <v>2112</v>
      </c>
      <c r="I32" t="s">
        <v>2113</v>
      </c>
      <c r="J32">
        <v>2023</v>
      </c>
    </row>
    <row r="33" spans="1:10" ht="14.5">
      <c r="A33" t="s">
        <v>373</v>
      </c>
      <c r="B33" t="s">
        <v>374</v>
      </c>
      <c r="C33" t="s">
        <v>2114</v>
      </c>
      <c r="D33" s="33" t="s">
        <v>2115</v>
      </c>
      <c r="E33" t="s">
        <v>2116</v>
      </c>
      <c r="F33">
        <v>14</v>
      </c>
      <c r="G33">
        <v>3</v>
      </c>
      <c r="H33" t="s">
        <v>2117</v>
      </c>
      <c r="I33" t="s">
        <v>2118</v>
      </c>
      <c r="J33">
        <v>2006</v>
      </c>
    </row>
    <row r="34" spans="1:10" ht="14.5">
      <c r="A34" t="s">
        <v>380</v>
      </c>
      <c r="B34" t="s">
        <v>381</v>
      </c>
      <c r="C34" s="32" t="s">
        <v>2119</v>
      </c>
      <c r="D34" s="33" t="s">
        <v>2120</v>
      </c>
      <c r="E34" t="s">
        <v>2121</v>
      </c>
      <c r="F34">
        <v>272</v>
      </c>
      <c r="G34" s="19">
        <v>46026</v>
      </c>
      <c r="H34" t="s">
        <v>2122</v>
      </c>
      <c r="I34" t="s">
        <v>2123</v>
      </c>
      <c r="J34">
        <v>2007</v>
      </c>
    </row>
    <row r="35" spans="1:10" ht="29">
      <c r="A35" t="s">
        <v>395</v>
      </c>
      <c r="B35" t="s">
        <v>396</v>
      </c>
      <c r="C35" t="s">
        <v>2124</v>
      </c>
      <c r="D35" s="33" t="s">
        <v>2125</v>
      </c>
      <c r="E35" t="s">
        <v>2126</v>
      </c>
      <c r="F35">
        <v>183</v>
      </c>
      <c r="I35" s="2" t="s">
        <v>2127</v>
      </c>
      <c r="J35">
        <v>2020</v>
      </c>
    </row>
    <row r="36" spans="1:10" ht="14.5">
      <c r="A36" t="s">
        <v>409</v>
      </c>
      <c r="B36" t="s">
        <v>410</v>
      </c>
      <c r="C36" s="32" t="s">
        <v>2128</v>
      </c>
      <c r="D36" s="33" t="s">
        <v>2129</v>
      </c>
      <c r="E36" t="s">
        <v>2070</v>
      </c>
      <c r="F36">
        <v>13</v>
      </c>
      <c r="G36">
        <v>1</v>
      </c>
      <c r="I36" t="s">
        <v>2130</v>
      </c>
      <c r="J36">
        <v>2018</v>
      </c>
    </row>
    <row r="37" spans="1:10" ht="58">
      <c r="A37" t="s">
        <v>424</v>
      </c>
      <c r="B37" t="s">
        <v>425</v>
      </c>
      <c r="C37" s="2" t="s">
        <v>2131</v>
      </c>
      <c r="D37" s="33" t="s">
        <v>2132</v>
      </c>
      <c r="E37" t="s">
        <v>2133</v>
      </c>
      <c r="F37">
        <v>52</v>
      </c>
      <c r="G37">
        <v>6</v>
      </c>
      <c r="H37" t="s">
        <v>2134</v>
      </c>
      <c r="I37" t="s">
        <v>2135</v>
      </c>
      <c r="J37">
        <v>2013</v>
      </c>
    </row>
    <row r="38" spans="1:10" ht="14.5">
      <c r="A38" t="s">
        <v>438</v>
      </c>
      <c r="B38" t="s">
        <v>439</v>
      </c>
      <c r="C38" s="1" t="s">
        <v>2136</v>
      </c>
      <c r="D38" s="33" t="s">
        <v>2137</v>
      </c>
      <c r="E38" t="s">
        <v>2138</v>
      </c>
      <c r="F38">
        <v>533</v>
      </c>
      <c r="H38" t="s">
        <v>2139</v>
      </c>
      <c r="I38" t="s">
        <v>2140</v>
      </c>
      <c r="J38">
        <v>2015</v>
      </c>
    </row>
    <row r="39" spans="1:10" ht="58">
      <c r="A39" t="s">
        <v>453</v>
      </c>
      <c r="B39" t="s">
        <v>454</v>
      </c>
      <c r="C39" t="s">
        <v>2141</v>
      </c>
      <c r="D39" s="33" t="s">
        <v>2142</v>
      </c>
      <c r="E39" t="s">
        <v>2005</v>
      </c>
      <c r="F39">
        <v>52</v>
      </c>
      <c r="G39">
        <v>8</v>
      </c>
      <c r="H39" t="s">
        <v>2143</v>
      </c>
      <c r="I39" s="2" t="s">
        <v>2144</v>
      </c>
      <c r="J39">
        <v>2009</v>
      </c>
    </row>
    <row r="40" spans="1:10" ht="14.5">
      <c r="A40" t="s">
        <v>460</v>
      </c>
      <c r="B40" t="s">
        <v>461</v>
      </c>
      <c r="C40" s="32" t="s">
        <v>2145</v>
      </c>
      <c r="D40" s="33" t="s">
        <v>2146</v>
      </c>
      <c r="E40" t="s">
        <v>2005</v>
      </c>
      <c r="F40">
        <v>51</v>
      </c>
      <c r="G40">
        <v>11</v>
      </c>
      <c r="H40" t="s">
        <v>2147</v>
      </c>
      <c r="I40" t="s">
        <v>2148</v>
      </c>
      <c r="J40">
        <v>2008</v>
      </c>
    </row>
    <row r="41" spans="1:10" ht="14.5">
      <c r="A41" t="s">
        <v>465</v>
      </c>
      <c r="B41" t="s">
        <v>466</v>
      </c>
      <c r="C41" t="s">
        <v>2149</v>
      </c>
      <c r="D41" s="33" t="s">
        <v>2150</v>
      </c>
      <c r="E41" t="s">
        <v>2005</v>
      </c>
      <c r="F41">
        <v>198</v>
      </c>
      <c r="I41" t="s">
        <v>2151</v>
      </c>
      <c r="J41">
        <v>2020</v>
      </c>
    </row>
    <row r="42" spans="1:10" ht="14.5">
      <c r="A42" t="s">
        <v>474</v>
      </c>
      <c r="B42" t="s">
        <v>475</v>
      </c>
      <c r="C42" t="s">
        <v>2152</v>
      </c>
      <c r="D42" s="33" t="s">
        <v>2153</v>
      </c>
      <c r="E42" t="s">
        <v>2154</v>
      </c>
      <c r="F42">
        <v>19</v>
      </c>
      <c r="G42">
        <v>1</v>
      </c>
      <c r="I42" t="s">
        <v>2155</v>
      </c>
      <c r="J42">
        <v>2014</v>
      </c>
    </row>
    <row r="43" spans="1:10" ht="14.5">
      <c r="A43" t="s">
        <v>482</v>
      </c>
      <c r="B43" t="s">
        <v>483</v>
      </c>
      <c r="C43" t="s">
        <v>2156</v>
      </c>
      <c r="D43" s="33" t="s">
        <v>2157</v>
      </c>
      <c r="E43" t="s">
        <v>2158</v>
      </c>
      <c r="F43">
        <v>26</v>
      </c>
      <c r="G43">
        <v>3</v>
      </c>
      <c r="I43" t="s">
        <v>2159</v>
      </c>
      <c r="J43">
        <v>2021</v>
      </c>
    </row>
    <row r="44" spans="1:10" ht="14.5">
      <c r="A44" t="s">
        <v>487</v>
      </c>
      <c r="B44" t="s">
        <v>488</v>
      </c>
      <c r="C44" s="1" t="s">
        <v>2160</v>
      </c>
      <c r="D44" s="33" t="s">
        <v>2161</v>
      </c>
      <c r="E44" t="s">
        <v>2162</v>
      </c>
      <c r="F44">
        <v>113</v>
      </c>
      <c r="I44" t="s">
        <v>2163</v>
      </c>
      <c r="J44">
        <v>2020</v>
      </c>
    </row>
    <row r="45" spans="1:10" ht="14.5">
      <c r="A45" t="s">
        <v>491</v>
      </c>
      <c r="B45" s="27" t="s">
        <v>492</v>
      </c>
      <c r="C45" t="s">
        <v>2164</v>
      </c>
      <c r="D45" s="33" t="s">
        <v>2165</v>
      </c>
      <c r="E45" t="s">
        <v>2166</v>
      </c>
      <c r="F45">
        <v>45</v>
      </c>
      <c r="I45" t="s">
        <v>2167</v>
      </c>
      <c r="J45">
        <v>2020</v>
      </c>
    </row>
    <row r="46" spans="1:10" ht="14.5">
      <c r="A46" s="28" t="s">
        <v>495</v>
      </c>
      <c r="B46" t="s">
        <v>496</v>
      </c>
      <c r="C46" t="s">
        <v>2168</v>
      </c>
      <c r="D46" s="33" t="s">
        <v>2169</v>
      </c>
      <c r="E46" t="s">
        <v>2170</v>
      </c>
      <c r="F46">
        <v>179</v>
      </c>
      <c r="I46" t="s">
        <v>2171</v>
      </c>
      <c r="J46">
        <v>2025</v>
      </c>
    </row>
    <row r="47" spans="1:10" ht="29">
      <c r="A47" t="s">
        <v>500</v>
      </c>
      <c r="B47" t="s">
        <v>501</v>
      </c>
      <c r="C47" s="2" t="s">
        <v>2172</v>
      </c>
      <c r="D47" s="33" t="s">
        <v>2173</v>
      </c>
      <c r="E47" t="s">
        <v>2174</v>
      </c>
      <c r="F47">
        <v>5</v>
      </c>
      <c r="G47">
        <v>2</v>
      </c>
      <c r="H47" t="s">
        <v>2175</v>
      </c>
      <c r="I47" t="s">
        <v>2176</v>
      </c>
      <c r="J47">
        <v>2011</v>
      </c>
    </row>
    <row r="48" spans="1:10" ht="14.5">
      <c r="A48" t="s">
        <v>517</v>
      </c>
      <c r="B48" t="s">
        <v>518</v>
      </c>
      <c r="C48" t="s">
        <v>2177</v>
      </c>
      <c r="D48" s="33" t="s">
        <v>2178</v>
      </c>
      <c r="E48" t="s">
        <v>2126</v>
      </c>
      <c r="F48">
        <v>71</v>
      </c>
      <c r="H48" t="s">
        <v>2179</v>
      </c>
      <c r="I48" t="s">
        <v>2180</v>
      </c>
      <c r="J48">
        <v>2013</v>
      </c>
    </row>
    <row r="49" spans="1:10" ht="14.5">
      <c r="A49" t="s">
        <v>534</v>
      </c>
      <c r="B49" t="s">
        <v>535</v>
      </c>
      <c r="C49" t="s">
        <v>2181</v>
      </c>
      <c r="D49" s="33" t="s">
        <v>2182</v>
      </c>
      <c r="E49" t="s">
        <v>1991</v>
      </c>
      <c r="I49" t="s">
        <v>2183</v>
      </c>
      <c r="J49">
        <v>2025</v>
      </c>
    </row>
    <row r="50" spans="1:10" ht="29">
      <c r="A50" t="s">
        <v>545</v>
      </c>
      <c r="B50" t="s">
        <v>546</v>
      </c>
      <c r="C50" s="34" t="s">
        <v>2184</v>
      </c>
      <c r="D50" s="33" t="s">
        <v>2185</v>
      </c>
      <c r="E50" t="s">
        <v>2186</v>
      </c>
      <c r="F50">
        <v>89</v>
      </c>
      <c r="I50" s="2" t="s">
        <v>2187</v>
      </c>
      <c r="J50">
        <v>2026</v>
      </c>
    </row>
    <row r="51" spans="1:10" ht="14.5">
      <c r="A51" t="s">
        <v>550</v>
      </c>
      <c r="B51" t="s">
        <v>551</v>
      </c>
      <c r="C51" t="s">
        <v>2188</v>
      </c>
      <c r="D51" s="33" t="s">
        <v>2189</v>
      </c>
      <c r="E51" t="s">
        <v>2190</v>
      </c>
      <c r="F51">
        <v>69</v>
      </c>
      <c r="I51" t="s">
        <v>2191</v>
      </c>
      <c r="J51">
        <v>2024</v>
      </c>
    </row>
    <row r="52" spans="1:10" ht="29">
      <c r="A52" t="s">
        <v>560</v>
      </c>
      <c r="B52" t="s">
        <v>561</v>
      </c>
      <c r="C52" s="2" t="s">
        <v>2192</v>
      </c>
      <c r="D52" s="33" t="s">
        <v>2193</v>
      </c>
      <c r="E52" t="s">
        <v>2013</v>
      </c>
      <c r="F52">
        <v>8</v>
      </c>
      <c r="G52">
        <v>5</v>
      </c>
      <c r="I52" s="2" t="s">
        <v>2194</v>
      </c>
      <c r="J52">
        <v>2017</v>
      </c>
    </row>
    <row r="53" spans="1:10" ht="14.5">
      <c r="A53" t="s">
        <v>573</v>
      </c>
      <c r="B53" t="s">
        <v>574</v>
      </c>
      <c r="C53" t="s">
        <v>2195</v>
      </c>
      <c r="D53" s="33" t="s">
        <v>2196</v>
      </c>
      <c r="E53" t="s">
        <v>2197</v>
      </c>
      <c r="F53">
        <v>12</v>
      </c>
      <c r="G53">
        <v>4</v>
      </c>
      <c r="H53" t="s">
        <v>2198</v>
      </c>
      <c r="I53" t="s">
        <v>2199</v>
      </c>
      <c r="J53">
        <v>2013</v>
      </c>
    </row>
    <row r="54" spans="1:10" ht="43.5">
      <c r="A54" t="s">
        <v>584</v>
      </c>
      <c r="B54" t="s">
        <v>585</v>
      </c>
      <c r="C54" s="2" t="s">
        <v>2200</v>
      </c>
      <c r="D54" s="33" t="s">
        <v>2201</v>
      </c>
      <c r="E54" t="s">
        <v>2070</v>
      </c>
      <c r="F54">
        <v>11</v>
      </c>
      <c r="G54">
        <v>3</v>
      </c>
      <c r="I54" s="2" t="s">
        <v>2202</v>
      </c>
      <c r="J54">
        <v>2016</v>
      </c>
    </row>
    <row r="55" spans="1:10" ht="43.5">
      <c r="A55" t="s">
        <v>589</v>
      </c>
      <c r="B55" t="s">
        <v>590</v>
      </c>
      <c r="C55" s="2" t="s">
        <v>2203</v>
      </c>
      <c r="D55" s="33" t="s">
        <v>2204</v>
      </c>
      <c r="E55" t="s">
        <v>2083</v>
      </c>
      <c r="F55">
        <v>6</v>
      </c>
      <c r="I55" s="2" t="s">
        <v>2205</v>
      </c>
      <c r="J55">
        <v>2019</v>
      </c>
    </row>
    <row r="56" spans="1:10" ht="14.5">
      <c r="A56" t="s">
        <v>599</v>
      </c>
      <c r="B56" t="s">
        <v>600</v>
      </c>
      <c r="C56" t="s">
        <v>2206</v>
      </c>
      <c r="D56" s="33" t="s">
        <v>2207</v>
      </c>
      <c r="E56" t="s">
        <v>2208</v>
      </c>
      <c r="F56">
        <v>7</v>
      </c>
      <c r="G56">
        <v>12</v>
      </c>
      <c r="I56" t="s">
        <v>2209</v>
      </c>
      <c r="J56">
        <v>2020</v>
      </c>
    </row>
    <row r="57" spans="1:10" ht="14.5">
      <c r="A57" t="s">
        <v>603</v>
      </c>
      <c r="B57" t="s">
        <v>518</v>
      </c>
      <c r="C57" t="s">
        <v>2210</v>
      </c>
      <c r="D57" s="33" t="s">
        <v>2211</v>
      </c>
      <c r="E57" t="s">
        <v>2005</v>
      </c>
      <c r="F57">
        <v>71</v>
      </c>
      <c r="H57" t="s">
        <v>2212</v>
      </c>
      <c r="I57" t="s">
        <v>2213</v>
      </c>
      <c r="J57">
        <v>2013</v>
      </c>
    </row>
    <row r="58" spans="1:10" ht="14.5">
      <c r="A58" t="s">
        <v>614</v>
      </c>
      <c r="B58" t="s">
        <v>615</v>
      </c>
      <c r="C58" t="s">
        <v>2214</v>
      </c>
      <c r="D58" s="33" t="s">
        <v>2215</v>
      </c>
      <c r="E58" t="s">
        <v>2216</v>
      </c>
      <c r="F58">
        <v>9</v>
      </c>
      <c r="G58">
        <v>2</v>
      </c>
      <c r="H58" t="s">
        <v>2217</v>
      </c>
      <c r="I58" t="s">
        <v>2218</v>
      </c>
      <c r="J58">
        <v>2024</v>
      </c>
    </row>
    <row r="59" spans="1:10" ht="14.5">
      <c r="A59" t="s">
        <v>619</v>
      </c>
      <c r="B59" t="s">
        <v>620</v>
      </c>
      <c r="C59" t="s">
        <v>2219</v>
      </c>
      <c r="D59" s="33" t="s">
        <v>2220</v>
      </c>
      <c r="E59" t="s">
        <v>1986</v>
      </c>
      <c r="F59">
        <v>32</v>
      </c>
      <c r="G59">
        <v>3</v>
      </c>
      <c r="H59" t="s">
        <v>2221</v>
      </c>
      <c r="I59" t="s">
        <v>2222</v>
      </c>
      <c r="J59">
        <v>2018</v>
      </c>
    </row>
    <row r="60" spans="1:10" ht="14.5">
      <c r="A60" t="s">
        <v>628</v>
      </c>
      <c r="B60" s="15" t="s">
        <v>629</v>
      </c>
      <c r="C60" t="s">
        <v>2223</v>
      </c>
      <c r="D60" s="33" t="s">
        <v>2224</v>
      </c>
      <c r="E60" t="s">
        <v>2083</v>
      </c>
      <c r="F60">
        <v>8</v>
      </c>
      <c r="I60" t="s">
        <v>2225</v>
      </c>
      <c r="J60">
        <v>2022</v>
      </c>
    </row>
    <row r="61" spans="1:10" ht="29">
      <c r="A61" t="s">
        <v>641</v>
      </c>
      <c r="B61" t="s">
        <v>642</v>
      </c>
      <c r="C61" t="s">
        <v>2226</v>
      </c>
      <c r="D61" s="33" t="s">
        <v>2227</v>
      </c>
      <c r="E61" t="s">
        <v>2005</v>
      </c>
      <c r="F61">
        <v>224</v>
      </c>
      <c r="I61" s="2" t="s">
        <v>2228</v>
      </c>
      <c r="J61">
        <v>2022</v>
      </c>
    </row>
    <row r="62" spans="1:10" ht="14.5">
      <c r="A62" t="s">
        <v>645</v>
      </c>
      <c r="B62" t="s">
        <v>646</v>
      </c>
      <c r="C62" t="s">
        <v>2229</v>
      </c>
      <c r="D62" s="33" t="s">
        <v>2230</v>
      </c>
      <c r="E62" t="s">
        <v>2231</v>
      </c>
      <c r="J62">
        <v>2017</v>
      </c>
    </row>
    <row r="63" spans="1:10" ht="14.5">
      <c r="A63" t="s">
        <v>651</v>
      </c>
      <c r="B63" t="s">
        <v>652</v>
      </c>
      <c r="C63" t="s">
        <v>2232</v>
      </c>
      <c r="D63" s="33" t="s">
        <v>2233</v>
      </c>
      <c r="E63" t="s">
        <v>2031</v>
      </c>
      <c r="F63">
        <v>31</v>
      </c>
      <c r="G63">
        <v>7</v>
      </c>
      <c r="H63" t="s">
        <v>2234</v>
      </c>
      <c r="I63" t="s">
        <v>2235</v>
      </c>
      <c r="J63">
        <v>2021</v>
      </c>
    </row>
    <row r="64" spans="1:10" ht="14.5">
      <c r="A64" t="s">
        <v>664</v>
      </c>
      <c r="B64" t="s">
        <v>665</v>
      </c>
      <c r="C64" t="s">
        <v>2236</v>
      </c>
      <c r="D64" s="33" t="s">
        <v>2237</v>
      </c>
      <c r="E64" t="s">
        <v>2238</v>
      </c>
      <c r="F64">
        <v>62</v>
      </c>
      <c r="I64" t="s">
        <v>2239</v>
      </c>
      <c r="J64">
        <v>2025</v>
      </c>
    </row>
    <row r="65" spans="1:10" ht="14.5">
      <c r="A65" t="s">
        <v>674</v>
      </c>
      <c r="B65" t="s">
        <v>675</v>
      </c>
      <c r="C65" s="24" t="s">
        <v>2240</v>
      </c>
      <c r="D65" s="33" t="s">
        <v>2241</v>
      </c>
      <c r="E65" t="s">
        <v>2242</v>
      </c>
      <c r="F65">
        <v>14</v>
      </c>
      <c r="G65">
        <v>1</v>
      </c>
      <c r="H65" t="s">
        <v>2243</v>
      </c>
      <c r="I65" t="s">
        <v>2244</v>
      </c>
      <c r="J65">
        <v>2020</v>
      </c>
    </row>
    <row r="66" spans="1:10" ht="29">
      <c r="A66" t="s">
        <v>687</v>
      </c>
      <c r="B66" t="s">
        <v>688</v>
      </c>
      <c r="C66" s="2" t="s">
        <v>2245</v>
      </c>
      <c r="D66" s="33" t="s">
        <v>2246</v>
      </c>
      <c r="E66" t="s">
        <v>2162</v>
      </c>
      <c r="F66">
        <v>157</v>
      </c>
      <c r="I66" t="s">
        <v>2247</v>
      </c>
      <c r="J66">
        <v>2023</v>
      </c>
    </row>
    <row r="67" spans="1:10" ht="14.5">
      <c r="A67" t="s">
        <v>699</v>
      </c>
      <c r="B67" t="s">
        <v>700</v>
      </c>
      <c r="C67" t="s">
        <v>2248</v>
      </c>
      <c r="D67" s="33" t="s">
        <v>2249</v>
      </c>
      <c r="E67" t="s">
        <v>2005</v>
      </c>
      <c r="F67">
        <v>195</v>
      </c>
      <c r="I67" t="s">
        <v>2250</v>
      </c>
      <c r="J67">
        <v>2020</v>
      </c>
    </row>
    <row r="68" spans="1:10" ht="14.5">
      <c r="A68" t="s">
        <v>705</v>
      </c>
      <c r="B68" t="s">
        <v>706</v>
      </c>
      <c r="C68" t="s">
        <v>2251</v>
      </c>
      <c r="D68" s="33" t="s">
        <v>2252</v>
      </c>
      <c r="E68" t="s">
        <v>2253</v>
      </c>
      <c r="F68">
        <v>33</v>
      </c>
      <c r="G68">
        <v>2</v>
      </c>
      <c r="H68" t="s">
        <v>2254</v>
      </c>
      <c r="I68" t="s">
        <v>2255</v>
      </c>
      <c r="J68">
        <v>2023</v>
      </c>
    </row>
    <row r="69" spans="1:10" ht="43.5">
      <c r="A69" t="s">
        <v>715</v>
      </c>
      <c r="B69" t="s">
        <v>716</v>
      </c>
      <c r="C69" t="s">
        <v>2256</v>
      </c>
      <c r="D69" s="33" t="s">
        <v>2060</v>
      </c>
      <c r="E69" t="s">
        <v>2041</v>
      </c>
      <c r="F69">
        <v>50</v>
      </c>
      <c r="G69">
        <v>2</v>
      </c>
      <c r="H69" t="s">
        <v>2257</v>
      </c>
      <c r="I69" s="2" t="s">
        <v>2258</v>
      </c>
      <c r="J69">
        <v>2022</v>
      </c>
    </row>
    <row r="70" spans="1:10" ht="14.5">
      <c r="A70" t="s">
        <v>720</v>
      </c>
      <c r="B70" t="s">
        <v>721</v>
      </c>
      <c r="C70" s="24" t="s">
        <v>2259</v>
      </c>
      <c r="D70" s="33" t="s">
        <v>2260</v>
      </c>
      <c r="E70" t="s">
        <v>2261</v>
      </c>
      <c r="F70">
        <v>25</v>
      </c>
      <c r="G70">
        <v>3</v>
      </c>
      <c r="H70" t="s">
        <v>2262</v>
      </c>
      <c r="I70" t="s">
        <v>2263</v>
      </c>
      <c r="J70">
        <v>2012</v>
      </c>
    </row>
    <row r="71" spans="1:10" ht="14.5">
      <c r="A71" t="s">
        <v>735</v>
      </c>
      <c r="B71" t="s">
        <v>736</v>
      </c>
      <c r="C71" t="s">
        <v>2264</v>
      </c>
      <c r="D71" s="33" t="s">
        <v>2265</v>
      </c>
      <c r="E71" t="s">
        <v>2266</v>
      </c>
      <c r="F71">
        <v>5</v>
      </c>
      <c r="G71">
        <v>2</v>
      </c>
      <c r="H71" t="s">
        <v>2267</v>
      </c>
      <c r="I71" t="s">
        <v>2268</v>
      </c>
      <c r="J71">
        <v>2012</v>
      </c>
    </row>
    <row r="72" spans="1:10" ht="14.5">
      <c r="A72" t="s">
        <v>740</v>
      </c>
      <c r="B72" t="s">
        <v>741</v>
      </c>
      <c r="C72" t="s">
        <v>2269</v>
      </c>
      <c r="D72" s="33" t="s">
        <v>2270</v>
      </c>
      <c r="E72" t="s">
        <v>2005</v>
      </c>
      <c r="F72">
        <v>88</v>
      </c>
      <c r="H72" t="s">
        <v>2271</v>
      </c>
      <c r="I72" t="s">
        <v>2272</v>
      </c>
      <c r="J72">
        <v>2014</v>
      </c>
    </row>
    <row r="73" spans="1:10" ht="14.5">
      <c r="A73" t="s">
        <v>746</v>
      </c>
      <c r="B73" t="s">
        <v>747</v>
      </c>
      <c r="C73" t="s">
        <v>2273</v>
      </c>
      <c r="D73" s="33" t="s">
        <v>2274</v>
      </c>
      <c r="E73" t="s">
        <v>2170</v>
      </c>
      <c r="F73">
        <v>124</v>
      </c>
      <c r="I73" t="s">
        <v>2275</v>
      </c>
      <c r="J73">
        <v>2021</v>
      </c>
    </row>
    <row r="74" spans="1:10" ht="14.5">
      <c r="A74" t="s">
        <v>752</v>
      </c>
      <c r="B74" t="s">
        <v>753</v>
      </c>
      <c r="C74" t="s">
        <v>2276</v>
      </c>
      <c r="D74" s="33" t="s">
        <v>2277</v>
      </c>
      <c r="E74" t="s">
        <v>2278</v>
      </c>
      <c r="F74">
        <v>84</v>
      </c>
      <c r="G74">
        <v>2</v>
      </c>
      <c r="H74" t="s">
        <v>2279</v>
      </c>
      <c r="I74" t="s">
        <v>2280</v>
      </c>
      <c r="J74">
        <v>2023</v>
      </c>
    </row>
    <row r="75" spans="1:10" ht="43.5">
      <c r="A75" t="s">
        <v>759</v>
      </c>
      <c r="B75" t="s">
        <v>760</v>
      </c>
      <c r="C75" s="2" t="s">
        <v>2281</v>
      </c>
      <c r="D75" s="33" t="s">
        <v>2282</v>
      </c>
      <c r="E75" t="s">
        <v>2283</v>
      </c>
      <c r="F75">
        <v>56</v>
      </c>
      <c r="G75">
        <v>1</v>
      </c>
      <c r="H75" t="s">
        <v>2284</v>
      </c>
      <c r="J75">
        <v>2008</v>
      </c>
    </row>
    <row r="76" spans="1:10" ht="14.5">
      <c r="A76" t="s">
        <v>764</v>
      </c>
      <c r="B76" t="s">
        <v>765</v>
      </c>
      <c r="C76" t="s">
        <v>2285</v>
      </c>
      <c r="D76" s="33" t="s">
        <v>2286</v>
      </c>
      <c r="E76" t="s">
        <v>2121</v>
      </c>
      <c r="F76">
        <v>246</v>
      </c>
      <c r="G76">
        <v>1</v>
      </c>
      <c r="H76" t="s">
        <v>2287</v>
      </c>
      <c r="I76" t="s">
        <v>2288</v>
      </c>
      <c r="J76">
        <v>2005</v>
      </c>
    </row>
    <row r="77" spans="1:10" ht="14.5">
      <c r="A77" t="s">
        <v>771</v>
      </c>
      <c r="B77" t="s">
        <v>772</v>
      </c>
      <c r="C77" t="s">
        <v>2289</v>
      </c>
      <c r="D77" s="33" t="s">
        <v>2290</v>
      </c>
      <c r="E77" t="s">
        <v>2291</v>
      </c>
      <c r="F77">
        <v>42</v>
      </c>
      <c r="G77">
        <v>2</v>
      </c>
      <c r="H77" t="s">
        <v>2292</v>
      </c>
      <c r="I77" t="s">
        <v>2293</v>
      </c>
      <c r="J77">
        <v>2019</v>
      </c>
    </row>
    <row r="78" spans="1:10" ht="14.5">
      <c r="A78" t="s">
        <v>781</v>
      </c>
      <c r="B78" t="s">
        <v>782</v>
      </c>
      <c r="C78" t="s">
        <v>2294</v>
      </c>
      <c r="D78" s="33" t="s">
        <v>2295</v>
      </c>
      <c r="E78" t="s">
        <v>2005</v>
      </c>
      <c r="F78">
        <v>208</v>
      </c>
      <c r="I78" t="s">
        <v>2296</v>
      </c>
      <c r="J78">
        <v>2021</v>
      </c>
    </row>
    <row r="79" spans="1:10" ht="14.5">
      <c r="A79" t="s">
        <v>811</v>
      </c>
      <c r="B79" t="s">
        <v>812</v>
      </c>
      <c r="C79" t="s">
        <v>2297</v>
      </c>
      <c r="D79" s="33" t="s">
        <v>2298</v>
      </c>
      <c r="E79" t="s">
        <v>2299</v>
      </c>
      <c r="F79">
        <v>150</v>
      </c>
      <c r="I79" t="s">
        <v>2300</v>
      </c>
      <c r="J79">
        <v>2023</v>
      </c>
    </row>
    <row r="80" spans="1:10" ht="14.5">
      <c r="A80" t="s">
        <v>819</v>
      </c>
      <c r="B80" t="s">
        <v>820</v>
      </c>
      <c r="C80" t="s">
        <v>2301</v>
      </c>
      <c r="D80" s="33" t="s">
        <v>2302</v>
      </c>
      <c r="E80" t="s">
        <v>2303</v>
      </c>
      <c r="F80">
        <v>92</v>
      </c>
      <c r="G80">
        <v>6</v>
      </c>
      <c r="H80" t="s">
        <v>2304</v>
      </c>
      <c r="I80" t="s">
        <v>2305</v>
      </c>
      <c r="J80">
        <v>2012</v>
      </c>
    </row>
    <row r="81" spans="1:10" ht="14.5">
      <c r="A81" t="s">
        <v>827</v>
      </c>
      <c r="B81" t="s">
        <v>828</v>
      </c>
      <c r="C81" s="32" t="s">
        <v>2306</v>
      </c>
      <c r="D81" s="33" t="s">
        <v>2307</v>
      </c>
      <c r="E81" t="s">
        <v>2031</v>
      </c>
      <c r="F81">
        <v>27</v>
      </c>
      <c r="G81">
        <v>3</v>
      </c>
      <c r="H81" t="s">
        <v>2308</v>
      </c>
      <c r="I81" t="s">
        <v>2309</v>
      </c>
      <c r="J81">
        <v>2017</v>
      </c>
    </row>
    <row r="82" spans="1:10" ht="14.5">
      <c r="A82" t="s">
        <v>831</v>
      </c>
      <c r="B82" t="s">
        <v>832</v>
      </c>
      <c r="C82" t="s">
        <v>2310</v>
      </c>
      <c r="D82" s="33" t="s">
        <v>2311</v>
      </c>
      <c r="E82" t="s">
        <v>2031</v>
      </c>
      <c r="F82">
        <v>29</v>
      </c>
      <c r="H82" t="s">
        <v>2312</v>
      </c>
      <c r="I82" t="s">
        <v>2313</v>
      </c>
      <c r="J82">
        <v>2019</v>
      </c>
    </row>
    <row r="83" spans="1:10" ht="14.5">
      <c r="A83" t="s">
        <v>837</v>
      </c>
      <c r="B83" t="s">
        <v>838</v>
      </c>
      <c r="C83" t="s">
        <v>2314</v>
      </c>
      <c r="D83" s="33" t="s">
        <v>2315</v>
      </c>
      <c r="E83" t="s">
        <v>2316</v>
      </c>
      <c r="F83">
        <v>91</v>
      </c>
      <c r="H83" t="s">
        <v>2317</v>
      </c>
      <c r="I83" t="s">
        <v>2318</v>
      </c>
      <c r="J83">
        <v>2018</v>
      </c>
    </row>
    <row r="84" spans="1:10" ht="29">
      <c r="A84" t="s">
        <v>842</v>
      </c>
      <c r="B84" t="s">
        <v>843</v>
      </c>
      <c r="C84" s="2" t="s">
        <v>2319</v>
      </c>
      <c r="D84" s="33" t="s">
        <v>2320</v>
      </c>
      <c r="E84" t="s">
        <v>2321</v>
      </c>
      <c r="F84">
        <v>15</v>
      </c>
      <c r="G84">
        <v>5</v>
      </c>
      <c r="H84" t="s">
        <v>2322</v>
      </c>
      <c r="I84" t="s">
        <v>2323</v>
      </c>
      <c r="J84">
        <v>2001</v>
      </c>
    </row>
    <row r="85" spans="1:10" ht="14.5">
      <c r="A85" t="s">
        <v>847</v>
      </c>
      <c r="B85" t="s">
        <v>848</v>
      </c>
      <c r="C85" s="2" t="s">
        <v>2324</v>
      </c>
      <c r="D85" s="33" t="s">
        <v>2325</v>
      </c>
      <c r="E85" t="s">
        <v>2326</v>
      </c>
      <c r="F85">
        <v>211</v>
      </c>
      <c r="H85" t="s">
        <v>2327</v>
      </c>
      <c r="I85" t="s">
        <v>2328</v>
      </c>
      <c r="J85">
        <v>2023</v>
      </c>
    </row>
    <row r="86" spans="1:10" ht="14.5">
      <c r="A86" t="s">
        <v>850</v>
      </c>
      <c r="B86" t="s">
        <v>851</v>
      </c>
      <c r="C86" s="32" t="s">
        <v>2329</v>
      </c>
      <c r="D86" s="33" t="s">
        <v>2330</v>
      </c>
      <c r="E86" t="s">
        <v>2278</v>
      </c>
      <c r="F86">
        <v>67</v>
      </c>
      <c r="G86">
        <v>4</v>
      </c>
      <c r="H86" t="s">
        <v>2331</v>
      </c>
      <c r="I86" t="s">
        <v>2332</v>
      </c>
      <c r="J86">
        <v>2017</v>
      </c>
    </row>
    <row r="87" spans="1:10" ht="29">
      <c r="A87" t="s">
        <v>856</v>
      </c>
      <c r="B87" t="s">
        <v>857</v>
      </c>
      <c r="C87" t="s">
        <v>2333</v>
      </c>
      <c r="D87" s="33" t="s">
        <v>2334</v>
      </c>
      <c r="E87" t="s">
        <v>2242</v>
      </c>
      <c r="F87">
        <v>14</v>
      </c>
      <c r="G87">
        <v>1</v>
      </c>
      <c r="H87" t="s">
        <v>2335</v>
      </c>
      <c r="I87" s="2" t="s">
        <v>2336</v>
      </c>
      <c r="J87">
        <v>2020</v>
      </c>
    </row>
    <row r="88" spans="1:10" ht="14.5">
      <c r="A88" t="s">
        <v>861</v>
      </c>
      <c r="B88" t="s">
        <v>862</v>
      </c>
      <c r="C88" t="s">
        <v>2337</v>
      </c>
      <c r="D88" s="33" t="s">
        <v>2338</v>
      </c>
      <c r="E88" t="s">
        <v>2005</v>
      </c>
      <c r="F88">
        <v>84</v>
      </c>
      <c r="H88" t="s">
        <v>2339</v>
      </c>
      <c r="I88" t="s">
        <v>2340</v>
      </c>
      <c r="J88">
        <v>2013</v>
      </c>
    </row>
    <row r="89" spans="1:10" ht="43.5">
      <c r="A89" t="s">
        <v>866</v>
      </c>
      <c r="B89" t="s">
        <v>867</v>
      </c>
      <c r="C89" s="2" t="s">
        <v>2341</v>
      </c>
      <c r="D89" s="33" t="s">
        <v>2342</v>
      </c>
      <c r="E89" t="s">
        <v>2343</v>
      </c>
      <c r="F89">
        <v>42</v>
      </c>
      <c r="G89">
        <v>2</v>
      </c>
      <c r="H89" t="s">
        <v>2344</v>
      </c>
      <c r="I89" t="s">
        <v>2345</v>
      </c>
      <c r="J89">
        <v>2016</v>
      </c>
    </row>
    <row r="90" spans="1:10" ht="14.5">
      <c r="A90" t="s">
        <v>883</v>
      </c>
      <c r="B90" t="s">
        <v>760</v>
      </c>
      <c r="C90" t="s">
        <v>2346</v>
      </c>
      <c r="D90" s="33" t="s">
        <v>2307</v>
      </c>
      <c r="E90" t="s">
        <v>2116</v>
      </c>
      <c r="F90">
        <v>16</v>
      </c>
      <c r="G90">
        <v>5</v>
      </c>
      <c r="H90" t="s">
        <v>2347</v>
      </c>
      <c r="I90" t="s">
        <v>2348</v>
      </c>
      <c r="J90">
        <v>2008</v>
      </c>
    </row>
    <row r="91" spans="1:10" ht="14.5">
      <c r="A91" t="s">
        <v>889</v>
      </c>
      <c r="B91" t="s">
        <v>890</v>
      </c>
      <c r="C91" t="s">
        <v>2349</v>
      </c>
      <c r="D91" s="33" t="s">
        <v>2350</v>
      </c>
      <c r="E91" t="s">
        <v>2170</v>
      </c>
      <c r="F91">
        <v>132</v>
      </c>
      <c r="I91" s="2" t="s">
        <v>2351</v>
      </c>
      <c r="J91">
        <v>2021</v>
      </c>
    </row>
    <row r="92" spans="1:10" ht="29">
      <c r="A92" t="s">
        <v>897</v>
      </c>
      <c r="B92" t="s">
        <v>898</v>
      </c>
      <c r="C92" t="s">
        <v>2352</v>
      </c>
      <c r="D92" s="33" t="s">
        <v>2353</v>
      </c>
      <c r="E92" t="s">
        <v>2354</v>
      </c>
      <c r="F92">
        <v>93</v>
      </c>
      <c r="G92">
        <v>1</v>
      </c>
      <c r="H92" t="s">
        <v>2355</v>
      </c>
      <c r="I92" s="2" t="s">
        <v>2356</v>
      </c>
      <c r="J92">
        <v>2017</v>
      </c>
    </row>
    <row r="93" spans="1:10" ht="29">
      <c r="A93" t="s">
        <v>902</v>
      </c>
      <c r="B93" t="s">
        <v>903</v>
      </c>
      <c r="C93" t="s">
        <v>2357</v>
      </c>
      <c r="D93" s="33" t="s">
        <v>2358</v>
      </c>
      <c r="E93" t="s">
        <v>2261</v>
      </c>
      <c r="F93">
        <v>21</v>
      </c>
      <c r="G93">
        <v>1</v>
      </c>
      <c r="H93" t="s">
        <v>2359</v>
      </c>
      <c r="I93" s="2" t="s">
        <v>2360</v>
      </c>
      <c r="J93">
        <v>2008</v>
      </c>
    </row>
    <row r="94" spans="1:10" ht="14.5">
      <c r="A94" t="s">
        <v>909</v>
      </c>
      <c r="B94" t="s">
        <v>910</v>
      </c>
      <c r="C94" t="s">
        <v>2361</v>
      </c>
      <c r="D94" s="33" t="s">
        <v>2362</v>
      </c>
      <c r="E94" t="s">
        <v>2363</v>
      </c>
      <c r="F94">
        <v>11</v>
      </c>
      <c r="I94" t="s">
        <v>2364</v>
      </c>
      <c r="J94">
        <v>2024</v>
      </c>
    </row>
    <row r="95" spans="1:10" ht="14.5">
      <c r="A95" t="s">
        <v>914</v>
      </c>
      <c r="B95" t="s">
        <v>915</v>
      </c>
      <c r="C95" t="s">
        <v>2365</v>
      </c>
      <c r="D95" s="33" t="s">
        <v>2366</v>
      </c>
      <c r="E95" t="s">
        <v>1986</v>
      </c>
      <c r="F95">
        <v>19</v>
      </c>
      <c r="G95">
        <v>3</v>
      </c>
      <c r="H95" t="s">
        <v>2367</v>
      </c>
      <c r="I95" t="s">
        <v>2368</v>
      </c>
      <c r="J95">
        <v>2005</v>
      </c>
    </row>
    <row r="96" spans="1:10" ht="14.5">
      <c r="A96" t="s">
        <v>918</v>
      </c>
      <c r="B96" t="s">
        <v>919</v>
      </c>
      <c r="C96" t="s">
        <v>2369</v>
      </c>
      <c r="D96" s="33" t="s">
        <v>2370</v>
      </c>
      <c r="E96" t="s">
        <v>2371</v>
      </c>
      <c r="F96">
        <v>72</v>
      </c>
      <c r="G96">
        <v>1</v>
      </c>
      <c r="H96" t="s">
        <v>2372</v>
      </c>
      <c r="I96" t="s">
        <v>2373</v>
      </c>
      <c r="J96">
        <v>2018</v>
      </c>
    </row>
    <row r="97" spans="1:10" ht="14.5">
      <c r="A97" t="s">
        <v>934</v>
      </c>
      <c r="B97" t="s">
        <v>935</v>
      </c>
      <c r="C97" t="s">
        <v>2374</v>
      </c>
      <c r="D97" s="33" t="s">
        <v>2375</v>
      </c>
      <c r="E97" t="s">
        <v>2138</v>
      </c>
      <c r="F97">
        <v>733</v>
      </c>
      <c r="I97" t="s">
        <v>2376</v>
      </c>
      <c r="J97">
        <v>2020</v>
      </c>
    </row>
    <row r="98" spans="1:10" ht="14.5">
      <c r="A98" t="s">
        <v>941</v>
      </c>
      <c r="B98" t="s">
        <v>942</v>
      </c>
      <c r="C98" t="s">
        <v>2377</v>
      </c>
      <c r="D98" s="33" t="s">
        <v>2378</v>
      </c>
      <c r="E98" t="s">
        <v>2379</v>
      </c>
      <c r="F98">
        <v>120</v>
      </c>
      <c r="H98" t="s">
        <v>2380</v>
      </c>
      <c r="I98" t="s">
        <v>2381</v>
      </c>
      <c r="J98">
        <v>2015</v>
      </c>
    </row>
    <row r="99" spans="1:10" ht="14.5">
      <c r="A99" t="s">
        <v>946</v>
      </c>
      <c r="B99" t="s">
        <v>947</v>
      </c>
      <c r="C99" t="s">
        <v>2382</v>
      </c>
      <c r="D99" s="33" t="s">
        <v>2383</v>
      </c>
      <c r="E99" t="s">
        <v>2291</v>
      </c>
      <c r="F99">
        <v>46</v>
      </c>
      <c r="G99">
        <v>1</v>
      </c>
      <c r="H99" t="s">
        <v>2384</v>
      </c>
      <c r="I99" t="s">
        <v>2385</v>
      </c>
      <c r="J99">
        <v>2023</v>
      </c>
    </row>
    <row r="100" spans="1:10" ht="14.5">
      <c r="A100" t="s">
        <v>969</v>
      </c>
      <c r="B100" t="s">
        <v>890</v>
      </c>
      <c r="C100" t="s">
        <v>2386</v>
      </c>
      <c r="D100" s="33" t="s">
        <v>2387</v>
      </c>
      <c r="E100" t="s">
        <v>2070</v>
      </c>
      <c r="F100">
        <v>16</v>
      </c>
      <c r="G100">
        <v>8</v>
      </c>
      <c r="I100" t="s">
        <v>2388</v>
      </c>
      <c r="J100">
        <v>2021</v>
      </c>
    </row>
    <row r="101" spans="1:10" ht="14.5">
      <c r="A101" t="s">
        <v>973</v>
      </c>
      <c r="B101" t="s">
        <v>974</v>
      </c>
      <c r="C101" t="s">
        <v>2389</v>
      </c>
      <c r="D101" s="33" t="s">
        <v>2390</v>
      </c>
      <c r="E101" t="s">
        <v>2363</v>
      </c>
      <c r="F101">
        <v>12</v>
      </c>
      <c r="H101" s="30"/>
      <c r="I101" t="s">
        <v>2391</v>
      </c>
      <c r="J101">
        <v>2025</v>
      </c>
    </row>
    <row r="102" spans="1:10" ht="14.5">
      <c r="A102" t="s">
        <v>990</v>
      </c>
      <c r="B102" t="s">
        <v>991</v>
      </c>
      <c r="C102" s="32" t="s">
        <v>2392</v>
      </c>
      <c r="D102" s="33" t="s">
        <v>2393</v>
      </c>
      <c r="E102" t="s">
        <v>2242</v>
      </c>
      <c r="F102">
        <v>5</v>
      </c>
      <c r="G102">
        <v>2</v>
      </c>
      <c r="H102" t="s">
        <v>2394</v>
      </c>
      <c r="J102">
        <v>2011</v>
      </c>
    </row>
    <row r="103" spans="1:10" ht="14.5">
      <c r="A103" t="s">
        <v>994</v>
      </c>
      <c r="B103" t="s">
        <v>995</v>
      </c>
      <c r="C103" t="s">
        <v>2395</v>
      </c>
      <c r="D103" s="33" t="s">
        <v>2396</v>
      </c>
      <c r="E103" t="s">
        <v>2397</v>
      </c>
      <c r="F103">
        <v>35</v>
      </c>
      <c r="G103">
        <v>4</v>
      </c>
      <c r="H103" t="s">
        <v>2398</v>
      </c>
      <c r="I103" t="s">
        <v>2399</v>
      </c>
      <c r="J103">
        <v>2019</v>
      </c>
    </row>
    <row r="104" spans="1:10" ht="14.5">
      <c r="A104" t="s">
        <v>1006</v>
      </c>
      <c r="B104" t="s">
        <v>1007</v>
      </c>
      <c r="C104" t="s">
        <v>2400</v>
      </c>
      <c r="D104" s="33" t="s">
        <v>2401</v>
      </c>
      <c r="E104" t="s">
        <v>2402</v>
      </c>
      <c r="F104">
        <v>294</v>
      </c>
      <c r="I104" t="s">
        <v>2403</v>
      </c>
      <c r="J104">
        <v>2023</v>
      </c>
    </row>
    <row r="105" spans="1:10" ht="14.5">
      <c r="A105" t="s">
        <v>1021</v>
      </c>
      <c r="B105" t="s">
        <v>1022</v>
      </c>
      <c r="C105" t="s">
        <v>2404</v>
      </c>
      <c r="D105" s="33" t="s">
        <v>2405</v>
      </c>
      <c r="E105" t="s">
        <v>2031</v>
      </c>
      <c r="F105">
        <v>31</v>
      </c>
      <c r="G105">
        <v>2</v>
      </c>
      <c r="H105" s="19" t="s">
        <v>2406</v>
      </c>
      <c r="I105" t="s">
        <v>2407</v>
      </c>
      <c r="J105">
        <v>2021</v>
      </c>
    </row>
    <row r="106" spans="1:10" ht="14.5">
      <c r="A106" t="s">
        <v>1032</v>
      </c>
      <c r="B106" t="s">
        <v>1033</v>
      </c>
      <c r="C106" t="s">
        <v>2408</v>
      </c>
      <c r="D106" s="33" t="s">
        <v>2409</v>
      </c>
      <c r="E106" t="s">
        <v>2126</v>
      </c>
      <c r="F106">
        <v>93</v>
      </c>
      <c r="H106" t="s">
        <v>2410</v>
      </c>
      <c r="I106" t="s">
        <v>2411</v>
      </c>
      <c r="J106">
        <v>2014</v>
      </c>
    </row>
    <row r="107" spans="1:10" ht="14.5">
      <c r="A107" t="s">
        <v>1050</v>
      </c>
      <c r="B107" t="s">
        <v>1051</v>
      </c>
      <c r="C107" t="s">
        <v>2412</v>
      </c>
      <c r="D107" s="33" t="s">
        <v>2413</v>
      </c>
      <c r="E107" t="s">
        <v>2138</v>
      </c>
      <c r="F107">
        <v>595</v>
      </c>
      <c r="H107" t="s">
        <v>2414</v>
      </c>
      <c r="I107" t="s">
        <v>2415</v>
      </c>
      <c r="J107">
        <v>2017</v>
      </c>
    </row>
    <row r="108" spans="1:10" ht="14.5">
      <c r="A108" t="s">
        <v>1067</v>
      </c>
      <c r="B108" t="s">
        <v>1068</v>
      </c>
      <c r="C108" s="1" t="s">
        <v>2416</v>
      </c>
      <c r="D108" s="33" t="s">
        <v>2417</v>
      </c>
      <c r="E108" t="s">
        <v>2031</v>
      </c>
      <c r="F108">
        <v>31</v>
      </c>
      <c r="G108">
        <v>2</v>
      </c>
      <c r="H108" t="s">
        <v>2418</v>
      </c>
      <c r="I108" t="s">
        <v>2419</v>
      </c>
      <c r="J108">
        <v>2021</v>
      </c>
    </row>
    <row r="109" spans="1:10" ht="14.5">
      <c r="A109" t="s">
        <v>1082</v>
      </c>
      <c r="B109" t="s">
        <v>1083</v>
      </c>
      <c r="C109" s="32" t="s">
        <v>2420</v>
      </c>
      <c r="D109" s="33" t="s">
        <v>2421</v>
      </c>
      <c r="E109" t="s">
        <v>2422</v>
      </c>
      <c r="F109">
        <v>8</v>
      </c>
      <c r="G109">
        <v>2</v>
      </c>
      <c r="H109" t="s">
        <v>2423</v>
      </c>
      <c r="I109" t="s">
        <v>2424</v>
      </c>
      <c r="J109">
        <v>2013</v>
      </c>
    </row>
    <row r="110" spans="1:10" ht="14.5">
      <c r="A110" t="s">
        <v>1091</v>
      </c>
      <c r="B110" t="s">
        <v>1092</v>
      </c>
      <c r="C110" t="s">
        <v>2425</v>
      </c>
      <c r="D110" s="33" t="s">
        <v>2426</v>
      </c>
      <c r="E110" t="s">
        <v>2427</v>
      </c>
      <c r="F110">
        <v>41</v>
      </c>
      <c r="G110">
        <v>6</v>
      </c>
      <c r="H110" t="s">
        <v>2428</v>
      </c>
      <c r="I110" t="s">
        <v>2429</v>
      </c>
      <c r="J110">
        <v>2016</v>
      </c>
    </row>
    <row r="111" spans="1:10" ht="14.5">
      <c r="A111" t="s">
        <v>1099</v>
      </c>
      <c r="B111" t="s">
        <v>1100</v>
      </c>
      <c r="C111" t="s">
        <v>2430</v>
      </c>
      <c r="D111" s="33" t="s">
        <v>2431</v>
      </c>
      <c r="E111" t="s">
        <v>2138</v>
      </c>
      <c r="F111">
        <v>682</v>
      </c>
      <c r="H111" t="s">
        <v>2432</v>
      </c>
      <c r="I111" t="s">
        <v>2433</v>
      </c>
      <c r="J111">
        <v>2019</v>
      </c>
    </row>
    <row r="112" spans="1:10" ht="14.5">
      <c r="A112" t="s">
        <v>1105</v>
      </c>
      <c r="B112" t="s">
        <v>1106</v>
      </c>
      <c r="C112" t="s">
        <v>2434</v>
      </c>
      <c r="D112" s="33" t="s">
        <v>2435</v>
      </c>
      <c r="E112" t="s">
        <v>2436</v>
      </c>
      <c r="F112">
        <v>215</v>
      </c>
      <c r="H112" t="s">
        <v>2437</v>
      </c>
      <c r="I112" s="2" t="s">
        <v>2438</v>
      </c>
      <c r="J112">
        <v>2001</v>
      </c>
    </row>
    <row r="113" spans="1:10" ht="14.5">
      <c r="A113" t="s">
        <v>1117</v>
      </c>
      <c r="B113" t="s">
        <v>1118</v>
      </c>
      <c r="C113" t="s">
        <v>2439</v>
      </c>
      <c r="D113" s="33" t="s">
        <v>2440</v>
      </c>
      <c r="E113" t="s">
        <v>2441</v>
      </c>
      <c r="F113">
        <v>61</v>
      </c>
      <c r="G113" s="19"/>
      <c r="H113" t="s">
        <v>2442</v>
      </c>
      <c r="I113" t="s">
        <v>2443</v>
      </c>
      <c r="J113">
        <v>2007</v>
      </c>
    </row>
    <row r="114" spans="1:10" ht="14.5">
      <c r="A114" t="s">
        <v>1121</v>
      </c>
      <c r="B114" t="s">
        <v>1122</v>
      </c>
      <c r="C114" t="s">
        <v>2444</v>
      </c>
      <c r="D114" s="33" t="s">
        <v>2445</v>
      </c>
      <c r="E114" t="s">
        <v>1982</v>
      </c>
      <c r="F114">
        <v>18</v>
      </c>
      <c r="G114">
        <v>1</v>
      </c>
      <c r="H114" t="s">
        <v>2446</v>
      </c>
      <c r="I114" t="s">
        <v>2447</v>
      </c>
      <c r="J114">
        <v>2008</v>
      </c>
    </row>
    <row r="115" spans="1:10" ht="14.5">
      <c r="A115" t="s">
        <v>1128</v>
      </c>
      <c r="B115" t="s">
        <v>1129</v>
      </c>
      <c r="C115" t="s">
        <v>2448</v>
      </c>
      <c r="D115" s="33" t="s">
        <v>2449</v>
      </c>
      <c r="E115" t="s">
        <v>2450</v>
      </c>
      <c r="F115">
        <v>47</v>
      </c>
      <c r="G115">
        <v>8</v>
      </c>
      <c r="H115" t="s">
        <v>2451</v>
      </c>
      <c r="I115" t="s">
        <v>2452</v>
      </c>
      <c r="J115">
        <v>2024</v>
      </c>
    </row>
    <row r="116" spans="1:10" ht="14.5">
      <c r="A116" t="s">
        <v>1138</v>
      </c>
      <c r="B116" t="s">
        <v>1122</v>
      </c>
      <c r="C116" t="s">
        <v>2453</v>
      </c>
      <c r="D116" s="33" t="s">
        <v>2454</v>
      </c>
      <c r="E116" t="s">
        <v>2455</v>
      </c>
      <c r="F116">
        <v>35</v>
      </c>
      <c r="G116">
        <v>1</v>
      </c>
      <c r="H116" t="s">
        <v>2456</v>
      </c>
      <c r="I116" t="s">
        <v>2457</v>
      </c>
      <c r="J116">
        <v>2008</v>
      </c>
    </row>
    <row r="117" spans="1:10" ht="14.5">
      <c r="A117" t="s">
        <v>1143</v>
      </c>
      <c r="B117" t="s">
        <v>1144</v>
      </c>
      <c r="C117" t="s">
        <v>2458</v>
      </c>
      <c r="D117" s="33" t="s">
        <v>2459</v>
      </c>
      <c r="E117" t="s">
        <v>2170</v>
      </c>
      <c r="F117">
        <v>32</v>
      </c>
      <c r="G117">
        <v>2</v>
      </c>
      <c r="H117" t="s">
        <v>2460</v>
      </c>
      <c r="I117" t="s">
        <v>2461</v>
      </c>
      <c r="J117">
        <v>2008</v>
      </c>
    </row>
    <row r="118" spans="1:10" ht="14.5">
      <c r="A118" t="s">
        <v>1147</v>
      </c>
      <c r="B118" t="s">
        <v>1148</v>
      </c>
      <c r="C118" t="s">
        <v>2462</v>
      </c>
      <c r="D118" s="33" t="s">
        <v>2463</v>
      </c>
      <c r="E118" t="s">
        <v>2464</v>
      </c>
      <c r="F118">
        <v>16</v>
      </c>
      <c r="G118">
        <v>7</v>
      </c>
      <c r="H118" s="31" t="s">
        <v>2465</v>
      </c>
      <c r="I118" t="s">
        <v>2466</v>
      </c>
      <c r="J118">
        <v>2024</v>
      </c>
    </row>
    <row r="119" spans="1:10" ht="29.25" customHeight="1">
      <c r="A119" t="s">
        <v>1159</v>
      </c>
      <c r="B119" t="s">
        <v>1160</v>
      </c>
      <c r="C119" t="s">
        <v>2467</v>
      </c>
      <c r="D119" s="33" t="s">
        <v>2468</v>
      </c>
      <c r="E119" s="2" t="s">
        <v>2303</v>
      </c>
      <c r="F119">
        <v>82</v>
      </c>
      <c r="G119">
        <v>2</v>
      </c>
      <c r="H119" t="s">
        <v>2469</v>
      </c>
      <c r="I119" t="s">
        <v>2470</v>
      </c>
      <c r="J119">
        <v>2002</v>
      </c>
    </row>
    <row r="120" spans="1:10" ht="14.5">
      <c r="A120" t="s">
        <v>1167</v>
      </c>
      <c r="B120" t="s">
        <v>1168</v>
      </c>
      <c r="C120" s="32" t="s">
        <v>2471</v>
      </c>
      <c r="D120" s="33" t="s">
        <v>2472</v>
      </c>
      <c r="E120" t="s">
        <v>2065</v>
      </c>
      <c r="F120">
        <v>167</v>
      </c>
      <c r="H120" t="s">
        <v>2473</v>
      </c>
      <c r="I120" t="s">
        <v>2474</v>
      </c>
      <c r="J120">
        <v>1998</v>
      </c>
    </row>
    <row r="121" spans="1:10" ht="14.5">
      <c r="A121" t="s">
        <v>1172</v>
      </c>
      <c r="B121" t="s">
        <v>915</v>
      </c>
      <c r="C121" t="s">
        <v>2475</v>
      </c>
      <c r="D121" s="33" t="s">
        <v>2476</v>
      </c>
      <c r="E121" t="s">
        <v>2477</v>
      </c>
      <c r="F121">
        <v>18</v>
      </c>
      <c r="G121">
        <v>4</v>
      </c>
      <c r="H121" t="s">
        <v>2347</v>
      </c>
      <c r="I121" t="s">
        <v>2478</v>
      </c>
      <c r="J121">
        <v>2005</v>
      </c>
    </row>
    <row r="122" spans="1:10" ht="14.5">
      <c r="A122" t="s">
        <v>1176</v>
      </c>
      <c r="B122" t="s">
        <v>1177</v>
      </c>
      <c r="C122" t="s">
        <v>2479</v>
      </c>
      <c r="D122" s="33" t="s">
        <v>2480</v>
      </c>
      <c r="E122" t="s">
        <v>2481</v>
      </c>
      <c r="F122">
        <v>42</v>
      </c>
      <c r="G122">
        <v>8</v>
      </c>
      <c r="H122" t="s">
        <v>2482</v>
      </c>
      <c r="I122" t="s">
        <v>2483</v>
      </c>
      <c r="J122">
        <v>2013</v>
      </c>
    </row>
    <row r="123" spans="1:10" ht="14.5">
      <c r="A123" t="s">
        <v>1186</v>
      </c>
      <c r="B123" t="s">
        <v>1187</v>
      </c>
      <c r="C123" t="s">
        <v>2484</v>
      </c>
      <c r="D123" s="33" t="s">
        <v>2485</v>
      </c>
      <c r="E123" t="s">
        <v>2486</v>
      </c>
      <c r="F123">
        <v>78</v>
      </c>
      <c r="G123">
        <v>3</v>
      </c>
      <c r="H123" t="s">
        <v>2487</v>
      </c>
      <c r="J123">
        <v>2006</v>
      </c>
    </row>
    <row r="124" spans="1:10" ht="14.5">
      <c r="A124" t="s">
        <v>1197</v>
      </c>
      <c r="B124" t="s">
        <v>1198</v>
      </c>
      <c r="C124" t="s">
        <v>2488</v>
      </c>
      <c r="D124" s="33" t="s">
        <v>2489</v>
      </c>
      <c r="E124" t="s">
        <v>2031</v>
      </c>
      <c r="F124">
        <v>32</v>
      </c>
      <c r="G124">
        <v>5</v>
      </c>
      <c r="H124" t="s">
        <v>2490</v>
      </c>
      <c r="I124" t="s">
        <v>2491</v>
      </c>
      <c r="J124">
        <v>2022</v>
      </c>
    </row>
    <row r="125" spans="1:10" ht="14.5">
      <c r="A125" t="s">
        <v>1206</v>
      </c>
      <c r="B125" t="s">
        <v>1207</v>
      </c>
      <c r="C125" t="s">
        <v>2492</v>
      </c>
      <c r="D125" s="33" t="s">
        <v>2493</v>
      </c>
      <c r="E125" t="s">
        <v>2031</v>
      </c>
      <c r="F125">
        <v>26</v>
      </c>
      <c r="G125">
        <v>1</v>
      </c>
      <c r="H125" t="s">
        <v>2494</v>
      </c>
      <c r="I125" t="s">
        <v>2495</v>
      </c>
      <c r="J125">
        <v>2016</v>
      </c>
    </row>
    <row r="126" spans="1:10" ht="14.5">
      <c r="A126" t="s">
        <v>1213</v>
      </c>
      <c r="B126" t="s">
        <v>1214</v>
      </c>
      <c r="C126" t="s">
        <v>2496</v>
      </c>
      <c r="D126" s="33" t="s">
        <v>2497</v>
      </c>
      <c r="E126" t="s">
        <v>2087</v>
      </c>
      <c r="F126">
        <v>91</v>
      </c>
      <c r="I126" t="s">
        <v>2498</v>
      </c>
      <c r="J126">
        <v>2018</v>
      </c>
    </row>
    <row r="127" spans="1:10" ht="14.5">
      <c r="A127" t="s">
        <v>1220</v>
      </c>
      <c r="B127" t="s">
        <v>1221</v>
      </c>
      <c r="C127" t="s">
        <v>2499</v>
      </c>
      <c r="D127" s="33" t="s">
        <v>2500</v>
      </c>
      <c r="E127" t="s">
        <v>2005</v>
      </c>
      <c r="F127">
        <v>146</v>
      </c>
      <c r="H127" t="s">
        <v>2501</v>
      </c>
      <c r="I127" t="s">
        <v>2502</v>
      </c>
      <c r="J127">
        <v>2017</v>
      </c>
    </row>
    <row r="128" spans="1:10" ht="14.5">
      <c r="A128" t="s">
        <v>1228</v>
      </c>
      <c r="B128" t="s">
        <v>1229</v>
      </c>
      <c r="C128" t="s">
        <v>2503</v>
      </c>
      <c r="D128" s="33" t="s">
        <v>2504</v>
      </c>
      <c r="E128" t="s">
        <v>2505</v>
      </c>
      <c r="F128">
        <v>10</v>
      </c>
      <c r="I128" t="s">
        <v>2506</v>
      </c>
      <c r="J128">
        <v>2023</v>
      </c>
    </row>
    <row r="129" spans="1:10" ht="14.5">
      <c r="A129" t="s">
        <v>1232</v>
      </c>
      <c r="B129" t="s">
        <v>1233</v>
      </c>
      <c r="C129" t="s">
        <v>2507</v>
      </c>
      <c r="D129" s="33" t="s">
        <v>2508</v>
      </c>
      <c r="E129" t="s">
        <v>2170</v>
      </c>
      <c r="F129">
        <v>127</v>
      </c>
      <c r="I129" t="s">
        <v>2509</v>
      </c>
      <c r="J129">
        <v>2021</v>
      </c>
    </row>
    <row r="130" spans="1:10" ht="14.5">
      <c r="A130" t="s">
        <v>1237</v>
      </c>
      <c r="B130" t="s">
        <v>1238</v>
      </c>
      <c r="C130" s="32" t="s">
        <v>2510</v>
      </c>
      <c r="D130" s="33" t="s">
        <v>2511</v>
      </c>
      <c r="E130" t="s">
        <v>2158</v>
      </c>
      <c r="F130">
        <v>29</v>
      </c>
      <c r="G130">
        <v>4</v>
      </c>
      <c r="I130" t="s">
        <v>2512</v>
      </c>
      <c r="J130">
        <v>2024</v>
      </c>
    </row>
    <row r="131" spans="1:10" ht="14.5">
      <c r="A131" t="s">
        <v>1246</v>
      </c>
      <c r="B131" t="s">
        <v>1247</v>
      </c>
      <c r="C131" t="s">
        <v>2513</v>
      </c>
      <c r="D131" s="33" t="s">
        <v>2514</v>
      </c>
      <c r="E131" t="s">
        <v>2031</v>
      </c>
      <c r="F131">
        <v>34</v>
      </c>
      <c r="G131">
        <v>12</v>
      </c>
      <c r="I131" t="s">
        <v>2515</v>
      </c>
      <c r="J131">
        <v>2024</v>
      </c>
    </row>
    <row r="132" spans="1:10" ht="14.5">
      <c r="A132" t="s">
        <v>1253</v>
      </c>
      <c r="B132" t="s">
        <v>1254</v>
      </c>
      <c r="C132" t="s">
        <v>2516</v>
      </c>
      <c r="D132" s="33" t="s">
        <v>2517</v>
      </c>
      <c r="E132" t="s">
        <v>2518</v>
      </c>
      <c r="F132">
        <v>25</v>
      </c>
      <c r="H132" t="s">
        <v>2519</v>
      </c>
      <c r="I132" t="s">
        <v>2520</v>
      </c>
      <c r="J132">
        <v>2013</v>
      </c>
    </row>
    <row r="133" spans="1:10" ht="14.5">
      <c r="A133" s="2" t="s">
        <v>1260</v>
      </c>
      <c r="B133" t="s">
        <v>1261</v>
      </c>
      <c r="C133" t="s">
        <v>2521</v>
      </c>
      <c r="D133" s="33" t="s">
        <v>2522</v>
      </c>
      <c r="E133" t="s">
        <v>2523</v>
      </c>
      <c r="F133">
        <v>8</v>
      </c>
      <c r="G133">
        <v>9</v>
      </c>
      <c r="H133" t="s">
        <v>2524</v>
      </c>
      <c r="I133" s="2" t="s">
        <v>2525</v>
      </c>
      <c r="J133">
        <v>2012</v>
      </c>
    </row>
  </sheetData>
  <mergeCells count="1">
    <mergeCell ref="A1:J1"/>
  </mergeCells>
  <hyperlinks>
    <hyperlink ref="I3" r:id="rId1" display="https://dx.doi.org/10.1890/06-1285.1" xr:uid="{7EACF0BC-4E6A-4BA2-9C51-21B1B74DD31C}"/>
    <hyperlink ref="I4" r:id="rId2" display="https://dx.doi.org/10.1111/j.1523-1739.2012.01928.x" xr:uid="{88ACD4BB-4142-4D74-80BE-F188154720DE}"/>
    <hyperlink ref="I5" r:id="rId3" display="https://dx.doi.org/10.1007/s10811-013-0167-4" xr:uid="{0AD8D432-0827-42AC-84A2-81C5F21F6ABE}"/>
    <hyperlink ref="I6" r:id="rId4" display="https://dx.doi.org/10.3856/vol45-issue2-fulltext-14" xr:uid="{FB879A1D-4083-46C7-BAA8-136B24063600}"/>
  </hyperlinks>
  <pageMargins left="0.7" right="0.7" top="0.75" bottom="0.75" header="0.3" footer="0.3"/>
  <pageSetup paperSize="9" scale="55" fitToHeight="0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Coded metadata</vt:lpstr>
      <vt:lpstr>Location</vt:lpstr>
      <vt:lpstr>Bibliography</vt:lpstr>
    </vt:vector>
  </TitlesOfParts>
  <Manager/>
  <Company>University of Edinburgh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Kemp</dc:creator>
  <cp:keywords/>
  <dc:description/>
  <cp:lastModifiedBy>Emily Kemp</cp:lastModifiedBy>
  <cp:revision/>
  <dcterms:created xsi:type="dcterms:W3CDTF">2026-01-15T14:17:07Z</dcterms:created>
  <dcterms:modified xsi:type="dcterms:W3CDTF">2026-04-07T16:23:44Z</dcterms:modified>
  <cp:category/>
  <cp:contentStatus/>
</cp:coreProperties>
</file>